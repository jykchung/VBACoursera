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3\Week 4\Peer Review\"/>
    </mc:Choice>
  </mc:AlternateContent>
  <bookViews>
    <workbookView xWindow="0" yWindow="0" windowWidth="18557" windowHeight="6928" activeTab="1"/>
  </bookViews>
  <sheets>
    <sheet name="Main" sheetId="1" r:id="rId1"/>
    <sheet name="Histogram" sheetId="141" r:id="rId2"/>
    <sheet name="Histogram Data" sheetId="2" r:id="rId3"/>
    <sheet name="Sheet1" sheetId="77" r:id="rId4"/>
  </sheets>
  <functionGroups builtInGroupCount="18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G5" i="77"/>
  <c r="F5" i="77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<sst xmlns="http://schemas.openxmlformats.org/spreadsheetml/2006/main" count="28" uniqueCount="23">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</sst>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76" formatCode="0.0%"/>
    <numFmt numFmtId="177" formatCode="0.0"/>
  </numFmts>
  <fonts count="4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rgb="FF000000"/>
      <name val="Calibri"/>
      <family val="2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76" fontId="0" fillId="2" borderId="4" xfId="2" applyNumberFormat="1" applyFont="1" applyFill="1" applyBorder="1"/>
    <xf numFmtId="177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77" fontId="0" fillId="2" borderId="4" xfId="0" applyNumberFormat="1" applyFill="1" applyBorder="1"/>
    <xf numFmtId="177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-103.5</c:v>
                </c:pt>
                <c:pt idx="1">
                  <c:v>-94.5</c:v>
                </c:pt>
                <c:pt idx="2">
                  <c:v>-85.5</c:v>
                </c:pt>
                <c:pt idx="3">
                  <c:v>-76.5</c:v>
                </c:pt>
                <c:pt idx="4">
                  <c:v>-67.5</c:v>
                </c:pt>
                <c:pt idx="5">
                  <c:v>-58.5</c:v>
                </c:pt>
                <c:pt idx="6">
                  <c:v>-49.5</c:v>
                </c:pt>
                <c:pt idx="7">
                  <c:v>-40.5</c:v>
                </c:pt>
                <c:pt idx="8">
                  <c:v>-31.5</c:v>
                </c:pt>
                <c:pt idx="9">
                  <c:v>-22.5</c:v>
                </c:pt>
                <c:pt idx="10">
                  <c:v>-13.5</c:v>
                </c:pt>
                <c:pt idx="11">
                  <c:v>-4.5</c:v>
                </c:pt>
                <c:pt idx="12">
                  <c:v>4.5</c:v>
                </c:pt>
                <c:pt idx="13">
                  <c:v>13.5</c:v>
                </c:pt>
                <c:pt idx="14">
                  <c:v>22.5</c:v>
                </c:pt>
                <c:pt idx="15">
                  <c:v>31.5</c:v>
                </c:pt>
                <c:pt idx="16">
                  <c:v>40.5</c:v>
                </c:pt>
                <c:pt idx="17">
                  <c:v>49.5</c:v>
                </c:pt>
                <c:pt idx="18">
                  <c:v>58.5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3</c:v>
                </c:pt>
                <c:pt idx="1">
                  <c:v>11</c:v>
                </c:pt>
                <c:pt idx="2">
                  <c:v>15</c:v>
                </c:pt>
                <c:pt idx="3">
                  <c:v>32</c:v>
                </c:pt>
                <c:pt idx="4">
                  <c:v>66</c:v>
                </c:pt>
                <c:pt idx="5">
                  <c:v>93</c:v>
                </c:pt>
                <c:pt idx="6">
                  <c:v>122</c:v>
                </c:pt>
                <c:pt idx="7">
                  <c:v>135</c:v>
                </c:pt>
                <c:pt idx="8">
                  <c:v>126</c:v>
                </c:pt>
                <c:pt idx="9">
                  <c:v>113</c:v>
                </c:pt>
                <c:pt idx="10">
                  <c:v>103</c:v>
                </c:pt>
                <c:pt idx="11">
                  <c:v>72</c:v>
                </c:pt>
                <c:pt idx="12">
                  <c:v>46</c:v>
                </c:pt>
                <c:pt idx="13">
                  <c:v>23</c:v>
                </c:pt>
                <c:pt idx="14">
                  <c:v>17</c:v>
                </c:pt>
                <c:pt idx="15">
                  <c:v>10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80464496"/>
        <c:axId val="-1980463408"/>
      </c:barChart>
      <c:catAx>
        <c:axId val="-198046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980463408"/>
        <c:crosses val="autoZero"/>
        <c:auto val="1"/>
        <c:lblAlgn val="ctr"/>
        <c:lblOffset val="100"/>
        <c:noMultiLvlLbl val="0"/>
      </c:catAx>
      <c:valAx>
        <c:axId val="-198046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98046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tabSelected="1"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897147</xdr:colOff>
          <xdr:row>25</xdr:row>
          <xdr:rowOff>86264</xdr:rowOff>
        </xdr:from>
        <xdr:to>
          <xdr:col>4</xdr:col>
          <xdr:colOff>396815</xdr:colOff>
          <xdr:row>27</xdr:row>
          <xdr:rowOff>146649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opLeftCell="A9" zoomScaleNormal="100" workbookViewId="0">
      <selection activeCell="N24" sqref="N24"/>
    </sheetView>
  </sheetViews>
  <sheetFormatPr defaultRowHeight="13.6"/>
  <cols>
    <col min="1" max="1" width="19.109375" bestFit="1" customWidth="1"/>
    <col min="2" max="2" width="11.88671875" bestFit="1" customWidth="1"/>
    <col min="3" max="3" width="13.109375" customWidth="1"/>
    <col min="4" max="4" width="9.88671875" bestFit="1" customWidth="1"/>
    <col min="5" max="5" width="10.44140625" bestFit="1" customWidth="1"/>
    <col min="6" max="6" width="10.6640625" customWidth="1"/>
    <col min="7" max="7" width="11.88671875" bestFit="1" customWidth="1"/>
    <col min="8" max="8" width="11" customWidth="1"/>
    <col min="9" max="10" width="9.109375" bestFit="1" customWidth="1"/>
  </cols>
  <sheetData>
    <row r="1" spans="1:16">
      <c r="A1" t="s">
        <v>0</v>
      </c>
    </row>
    <row r="2" spans="1:16" ht="14.3" thickBot="1"/>
    <row r="3" spans="1:16">
      <c r="A3" t="s">
        <v>1</v>
      </c>
      <c r="B3" s="5">
        <v>-6</v>
      </c>
      <c r="D3" t="s">
        <v>2</v>
      </c>
      <c r="E3" s="15">
        <v>24.4657493490473</v>
      </c>
      <c r="G3" t="s">
        <v>3</v>
      </c>
      <c r="H3" s="5">
        <v>-10.868309232138687</v>
      </c>
    </row>
    <row r="4" spans="1:16" ht="14.3" thickBot="1">
      <c r="A4" t="s">
        <v>4</v>
      </c>
      <c r="B4" s="6">
        <v>-2.9134105992745378</v>
      </c>
      <c r="D4" t="s">
        <v>5</v>
      </c>
      <c r="E4" s="7">
        <v>0.4</v>
      </c>
      <c r="G4" t="s">
        <v>6</v>
      </c>
      <c r="H4" s="8">
        <v>0.13292746365070343</v>
      </c>
    </row>
    <row r="5" spans="1:16">
      <c r="A5" t="s">
        <v>7</v>
      </c>
      <c r="B5" s="9">
        <v>-181.64499444909592</v>
      </c>
      <c r="H5" s="10"/>
    </row>
    <row r="6" spans="1:16">
      <c r="A6" t="s">
        <v>8</v>
      </c>
      <c r="B6" s="9">
        <v>-22.355257868766785</v>
      </c>
      <c r="E6" t="s">
        <v>9</v>
      </c>
      <c r="H6" s="10"/>
    </row>
    <row r="7" spans="1:16" ht="14.3" thickBot="1">
      <c r="A7" t="s">
        <v>10</v>
      </c>
      <c r="B7" s="14">
        <v>-16.141892289611288</v>
      </c>
      <c r="E7" t="s">
        <v>11</v>
      </c>
      <c r="H7" s="10"/>
    </row>
    <row r="8" spans="1:16">
      <c r="M8" t="s">
        <v>12</v>
      </c>
    </row>
    <row r="9" spans="1:16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>
      <c r="A10">
        <v>1</v>
      </c>
      <c r="B10" s="11">
        <f>0.5*CTDC</f>
        <v>-90.822497224547959</v>
      </c>
      <c r="C10" s="11"/>
      <c r="D10" s="11">
        <f>Cland</f>
        <v>-6</v>
      </c>
      <c r="E10" s="11"/>
      <c r="F10" s="11"/>
      <c r="G10" s="11"/>
      <c r="H10" s="11"/>
      <c r="I10" s="11"/>
      <c r="J10" s="11"/>
      <c r="L10">
        <f>B10+D10</f>
        <v>-96.822497224547959</v>
      </c>
      <c r="M10" s="11">
        <f t="shared" ref="M10:M24" si="0">L10/(1+i)^(A10-1)</f>
        <v>-96.822497224547959</v>
      </c>
      <c r="N10" s="11">
        <f>M10</f>
        <v>-96.822497224547959</v>
      </c>
    </row>
    <row r="11" spans="1:16">
      <c r="A11">
        <v>2</v>
      </c>
      <c r="B11" s="11">
        <f>0.5*CTDC</f>
        <v>-90.822497224547959</v>
      </c>
      <c r="C11" s="11">
        <f>WC</f>
        <v>-22.355257868766785</v>
      </c>
      <c r="D11" s="11"/>
      <c r="E11" s="11"/>
      <c r="F11" s="11">
        <f>Cstart</f>
        <v>-16.141892289611288</v>
      </c>
      <c r="G11" s="11"/>
      <c r="H11" s="11"/>
      <c r="I11" s="11"/>
      <c r="J11" s="11"/>
      <c r="L11">
        <f>B11+C11+F11</f>
        <v>-129.31964738292604</v>
      </c>
      <c r="M11" s="11">
        <f t="shared" si="0"/>
        <v>-114.14644938186176</v>
      </c>
      <c r="N11" s="11">
        <f>N10+M11</f>
        <v>-210.9689466064097</v>
      </c>
    </row>
    <row r="12" spans="1:16">
      <c r="A12">
        <v>3</v>
      </c>
      <c r="B12" s="11"/>
      <c r="C12" s="11"/>
      <c r="D12" s="11"/>
      <c r="E12" s="11">
        <f t="shared" ref="E12:E24" si="1">Croyal</f>
        <v>-2.9134105992745378</v>
      </c>
      <c r="F12" s="11"/>
      <c r="G12" s="11"/>
      <c r="H12" s="11">
        <f>P12*-CTDC</f>
        <v>25.957069706775808</v>
      </c>
      <c r="I12" s="11">
        <f>0.5*S</f>
        <v>12.23287467452365</v>
      </c>
      <c r="J12" s="11">
        <f>0.5*COS</f>
        <v>-5.4341546160693435</v>
      </c>
      <c r="K12" s="11">
        <f>(1-tax)*(I12-J12-H12)</f>
        <v>-4.9740242497096894</v>
      </c>
      <c r="L12" s="11">
        <f t="shared" ref="L12:L23" si="2">K12+H12+E12</f>
        <v>18.069634857791581</v>
      </c>
      <c r="M12" s="11">
        <f t="shared" si="0"/>
        <v>14.078136347612237</v>
      </c>
      <c r="N12" s="11">
        <f t="shared" ref="N12:N23" si="3">N11+M12</f>
        <v>-196.89081025879747</v>
      </c>
      <c r="P12" s="12">
        <v>0.1429</v>
      </c>
    </row>
    <row r="13" spans="1:16">
      <c r="A13">
        <v>4</v>
      </c>
      <c r="B13" s="11"/>
      <c r="C13" s="11"/>
      <c r="D13" s="11"/>
      <c r="E13" s="11">
        <f t="shared" si="1"/>
        <v>-2.9134105992745378</v>
      </c>
      <c r="F13" s="11"/>
      <c r="G13" s="11"/>
      <c r="H13" s="11">
        <f t="shared" ref="H13:H19" si="4">P13*-CTDC</f>
        <v>44.484859140583595</v>
      </c>
      <c r="I13" s="11">
        <f>0.8*S</f>
        <v>19.572599479237841</v>
      </c>
      <c r="J13" s="11">
        <f>0.8*COS</f>
        <v>-8.6946473857109492</v>
      </c>
      <c r="K13" s="11">
        <f t="shared" ref="K13:K24" si="5">(1-tax)*(I13-J13-H13)</f>
        <v>-9.7305673653808835</v>
      </c>
      <c r="L13" s="11">
        <f t="shared" si="2"/>
        <v>31.840881175928171</v>
      </c>
      <c r="M13" s="11">
        <f t="shared" si="0"/>
        <v>21.896704809907089</v>
      </c>
      <c r="N13" s="11">
        <f t="shared" si="3"/>
        <v>-174.99410544889039</v>
      </c>
      <c r="P13" s="12">
        <v>0.24490000000000001</v>
      </c>
    </row>
    <row r="14" spans="1:16">
      <c r="A14">
        <v>5</v>
      </c>
      <c r="B14" s="11"/>
      <c r="C14" s="11"/>
      <c r="D14" s="11"/>
      <c r="E14" s="11">
        <f t="shared" si="1"/>
        <v>-2.9134105992745378</v>
      </c>
      <c r="F14" s="11"/>
      <c r="G14" s="11"/>
      <c r="H14" s="11">
        <f t="shared" si="4"/>
        <v>31.769709529146876</v>
      </c>
      <c r="I14" s="11">
        <f t="shared" ref="I14:I24" si="6">S</f>
        <v>24.4657493490473</v>
      </c>
      <c r="J14" s="11">
        <f t="shared" ref="J14:J24" si="7">COS</f>
        <v>-10.868309232138687</v>
      </c>
      <c r="K14" s="11">
        <f t="shared" si="5"/>
        <v>2.1386094312234651</v>
      </c>
      <c r="L14" s="11">
        <f t="shared" si="2"/>
        <v>30.994908361095806</v>
      </c>
      <c r="M14" s="11">
        <f t="shared" si="0"/>
        <v>18.814034561491891</v>
      </c>
      <c r="N14" s="11">
        <f t="shared" si="3"/>
        <v>-156.1800708873985</v>
      </c>
      <c r="P14" s="12">
        <v>0.1749</v>
      </c>
    </row>
    <row r="15" spans="1:16">
      <c r="A15">
        <v>6</v>
      </c>
      <c r="B15" s="11"/>
      <c r="C15" s="11"/>
      <c r="D15" s="11"/>
      <c r="E15" s="11">
        <f t="shared" si="1"/>
        <v>-2.9134105992745378</v>
      </c>
      <c r="F15" s="11"/>
      <c r="G15" s="11"/>
      <c r="H15" s="11">
        <f t="shared" si="4"/>
        <v>22.687459806692079</v>
      </c>
      <c r="I15" s="11">
        <f t="shared" si="6"/>
        <v>24.4657493490473</v>
      </c>
      <c r="J15" s="11">
        <f t="shared" si="7"/>
        <v>-10.868309232138687</v>
      </c>
      <c r="K15" s="11">
        <f t="shared" si="5"/>
        <v>7.5879592646963436</v>
      </c>
      <c r="L15" s="11">
        <f t="shared" si="2"/>
        <v>27.362008472113885</v>
      </c>
      <c r="M15" s="11">
        <f t="shared" si="0"/>
        <v>14.660117429166124</v>
      </c>
      <c r="N15" s="11">
        <f t="shared" si="3"/>
        <v>-141.51995345823238</v>
      </c>
      <c r="P15" s="12">
        <v>0.1249</v>
      </c>
    </row>
    <row r="16" spans="1:16">
      <c r="A16">
        <v>7</v>
      </c>
      <c r="B16" s="11"/>
      <c r="C16" s="11"/>
      <c r="D16" s="11"/>
      <c r="E16" s="11">
        <f t="shared" si="1"/>
        <v>-2.9134105992745378</v>
      </c>
      <c r="F16" s="11"/>
      <c r="G16" s="11"/>
      <c r="H16" s="11">
        <f t="shared" si="4"/>
        <v>16.220898004304267</v>
      </c>
      <c r="I16" s="11">
        <f t="shared" si="6"/>
        <v>24.4657493490473</v>
      </c>
      <c r="J16" s="11">
        <f t="shared" si="7"/>
        <v>-10.868309232138687</v>
      </c>
      <c r="K16" s="11">
        <f t="shared" si="5"/>
        <v>11.467896346129031</v>
      </c>
      <c r="L16" s="11">
        <f t="shared" si="2"/>
        <v>24.77538375115876</v>
      </c>
      <c r="M16" s="11">
        <f t="shared" si="0"/>
        <v>11.71676612901063</v>
      </c>
      <c r="N16" s="11">
        <f t="shared" si="3"/>
        <v>-129.80318732922174</v>
      </c>
      <c r="P16" s="12">
        <v>8.9300000000000004E-2</v>
      </c>
    </row>
    <row r="17" spans="1:16">
      <c r="A17">
        <v>8</v>
      </c>
      <c r="B17" s="11"/>
      <c r="C17" s="11"/>
      <c r="D17" s="11"/>
      <c r="E17" s="11">
        <f t="shared" si="1"/>
        <v>-2.9134105992745378</v>
      </c>
      <c r="F17" s="11"/>
      <c r="G17" s="11"/>
      <c r="H17" s="11">
        <f t="shared" si="4"/>
        <v>16.202733504859356</v>
      </c>
      <c r="I17" s="11">
        <f t="shared" si="6"/>
        <v>24.4657493490473</v>
      </c>
      <c r="J17" s="11">
        <f t="shared" si="7"/>
        <v>-10.868309232138687</v>
      </c>
      <c r="K17" s="11">
        <f t="shared" si="5"/>
        <v>11.478795045795977</v>
      </c>
      <c r="L17" s="11">
        <f t="shared" si="2"/>
        <v>24.768117951380795</v>
      </c>
      <c r="M17" s="11">
        <f t="shared" si="0"/>
        <v>10.338993770779604</v>
      </c>
      <c r="N17" s="11">
        <f t="shared" si="3"/>
        <v>-119.46419355844213</v>
      </c>
      <c r="P17" s="12">
        <v>8.9200000000000002E-2</v>
      </c>
    </row>
    <row r="18" spans="1:16">
      <c r="A18">
        <v>9</v>
      </c>
      <c r="B18" s="11"/>
      <c r="C18" s="11"/>
      <c r="D18" s="11"/>
      <c r="E18" s="11">
        <f t="shared" si="1"/>
        <v>-2.9134105992745378</v>
      </c>
      <c r="F18" s="11"/>
      <c r="G18" s="11"/>
      <c r="H18" s="11">
        <f t="shared" si="4"/>
        <v>16.220898004304267</v>
      </c>
      <c r="I18" s="11">
        <f t="shared" si="6"/>
        <v>24.4657493490473</v>
      </c>
      <c r="J18" s="11">
        <f t="shared" si="7"/>
        <v>-10.868309232138687</v>
      </c>
      <c r="K18" s="11">
        <f t="shared" si="5"/>
        <v>11.467896346129031</v>
      </c>
      <c r="L18" s="11">
        <f t="shared" si="2"/>
        <v>24.77538375115876</v>
      </c>
      <c r="M18" s="11">
        <f t="shared" si="0"/>
        <v>9.1285868483485366</v>
      </c>
      <c r="N18" s="11">
        <f t="shared" si="3"/>
        <v>-110.3356067100936</v>
      </c>
      <c r="P18" s="12">
        <v>8.9300000000000004E-2</v>
      </c>
    </row>
    <row r="19" spans="1:16">
      <c r="A19">
        <v>10</v>
      </c>
      <c r="B19" s="11"/>
      <c r="C19" s="11"/>
      <c r="D19" s="11"/>
      <c r="E19" s="11">
        <f t="shared" si="1"/>
        <v>-2.9134105992745378</v>
      </c>
      <c r="F19" s="11"/>
      <c r="G19" s="11"/>
      <c r="H19" s="11">
        <f t="shared" si="4"/>
        <v>8.1013667524296782</v>
      </c>
      <c r="I19" s="11">
        <f t="shared" si="6"/>
        <v>24.4657493490473</v>
      </c>
      <c r="J19" s="11">
        <f t="shared" si="7"/>
        <v>-10.868309232138687</v>
      </c>
      <c r="K19" s="11">
        <f t="shared" si="5"/>
        <v>16.339615097253784</v>
      </c>
      <c r="L19" s="11">
        <f t="shared" si="2"/>
        <v>21.527571250408922</v>
      </c>
      <c r="M19" s="11">
        <f t="shared" si="0"/>
        <v>7.0012581650810599</v>
      </c>
      <c r="N19" s="11">
        <f t="shared" si="3"/>
        <v>-103.33434854501255</v>
      </c>
      <c r="P19" s="12">
        <v>4.4600000000000001E-2</v>
      </c>
    </row>
    <row r="20" spans="1:16">
      <c r="A20">
        <v>11</v>
      </c>
      <c r="B20" s="11"/>
      <c r="C20" s="11"/>
      <c r="D20" s="11"/>
      <c r="E20" s="11">
        <f t="shared" si="1"/>
        <v>-2.9134105992745378</v>
      </c>
      <c r="F20" s="11"/>
      <c r="G20" s="11"/>
      <c r="H20" s="11"/>
      <c r="I20" s="11">
        <f t="shared" si="6"/>
        <v>24.4657493490473</v>
      </c>
      <c r="J20" s="11">
        <f t="shared" si="7"/>
        <v>-10.868309232138687</v>
      </c>
      <c r="K20" s="11">
        <f t="shared" si="5"/>
        <v>21.200435148711591</v>
      </c>
      <c r="L20" s="11">
        <f t="shared" si="2"/>
        <v>18.287024549437053</v>
      </c>
      <c r="M20" s="11">
        <f t="shared" si="0"/>
        <v>5.2495490742224407</v>
      </c>
      <c r="N20" s="11">
        <f t="shared" si="3"/>
        <v>-98.084799470790102</v>
      </c>
    </row>
    <row r="21" spans="1:16">
      <c r="A21">
        <v>12</v>
      </c>
      <c r="B21" s="11"/>
      <c r="C21" s="11"/>
      <c r="D21" s="11"/>
      <c r="E21" s="11">
        <f t="shared" si="1"/>
        <v>-2.9134105992745378</v>
      </c>
      <c r="F21" s="11"/>
      <c r="G21" s="11"/>
      <c r="H21" s="11"/>
      <c r="I21" s="11">
        <f t="shared" si="6"/>
        <v>24.4657493490473</v>
      </c>
      <c r="J21" s="11">
        <f t="shared" si="7"/>
        <v>-10.868309232138687</v>
      </c>
      <c r="K21" s="11">
        <f t="shared" si="5"/>
        <v>21.200435148711591</v>
      </c>
      <c r="L21" s="11">
        <f t="shared" si="2"/>
        <v>18.287024549437053</v>
      </c>
      <c r="M21" s="11">
        <f t="shared" si="0"/>
        <v>4.6336144569277966</v>
      </c>
      <c r="N21" s="11">
        <f t="shared" si="3"/>
        <v>-93.4511850138623</v>
      </c>
    </row>
    <row r="22" spans="1:16">
      <c r="A22">
        <v>13</v>
      </c>
      <c r="B22" s="11"/>
      <c r="C22" s="11"/>
      <c r="D22" s="11"/>
      <c r="E22" s="11">
        <f t="shared" si="1"/>
        <v>-2.9134105992745378</v>
      </c>
      <c r="F22" s="11"/>
      <c r="G22" s="11"/>
      <c r="H22" s="11"/>
      <c r="I22" s="11">
        <f t="shared" si="6"/>
        <v>24.4657493490473</v>
      </c>
      <c r="J22" s="11">
        <f t="shared" si="7"/>
        <v>-10.868309232138687</v>
      </c>
      <c r="K22" s="11">
        <f t="shared" si="5"/>
        <v>21.200435148711591</v>
      </c>
      <c r="L22" s="11">
        <f t="shared" si="2"/>
        <v>18.287024549437053</v>
      </c>
      <c r="M22" s="11">
        <f t="shared" si="0"/>
        <v>4.0899480377998865</v>
      </c>
      <c r="N22" s="11">
        <f t="shared" si="3"/>
        <v>-89.361236976062415</v>
      </c>
    </row>
    <row r="23" spans="1:16" ht="14.3" thickBot="1">
      <c r="A23">
        <v>14</v>
      </c>
      <c r="B23" s="11"/>
      <c r="C23" s="11"/>
      <c r="D23" s="11"/>
      <c r="E23" s="11">
        <f t="shared" si="1"/>
        <v>-2.9134105992745378</v>
      </c>
      <c r="F23" s="11"/>
      <c r="G23" s="11"/>
      <c r="H23" s="11"/>
      <c r="I23" s="11">
        <f t="shared" si="6"/>
        <v>24.4657493490473</v>
      </c>
      <c r="J23" s="11">
        <f t="shared" si="7"/>
        <v>-10.868309232138687</v>
      </c>
      <c r="K23" s="11">
        <f t="shared" si="5"/>
        <v>21.200435148711591</v>
      </c>
      <c r="L23" s="11">
        <f t="shared" si="2"/>
        <v>18.287024549437053</v>
      </c>
      <c r="M23" s="11">
        <f t="shared" si="0"/>
        <v>3.6100705199789136</v>
      </c>
      <c r="N23" s="11">
        <f t="shared" si="3"/>
        <v>-85.751166456083496</v>
      </c>
    </row>
    <row r="24" spans="1:16" ht="14.3" thickBot="1">
      <c r="A24">
        <v>15</v>
      </c>
      <c r="B24" s="11"/>
      <c r="C24" s="11">
        <f>-WC</f>
        <v>22.355257868766785</v>
      </c>
      <c r="D24" s="11"/>
      <c r="E24" s="11">
        <f t="shared" si="1"/>
        <v>-2.9134105992745378</v>
      </c>
      <c r="F24" s="11"/>
      <c r="G24" s="11"/>
      <c r="H24" s="11"/>
      <c r="I24" s="11">
        <f t="shared" si="6"/>
        <v>24.4657493490473</v>
      </c>
      <c r="J24" s="11">
        <f t="shared" si="7"/>
        <v>-10.868309232138687</v>
      </c>
      <c r="K24" s="11">
        <f t="shared" si="5"/>
        <v>21.200435148711591</v>
      </c>
      <c r="L24" s="11">
        <f>C24+K24+G24+E24</f>
        <v>40.642282418203841</v>
      </c>
      <c r="M24" s="11">
        <f t="shared" si="0"/>
        <v>7.0818809581964057</v>
      </c>
      <c r="N24" s="13">
        <f>N23+M24</f>
        <v>-78.669285497887088</v>
      </c>
    </row>
    <row r="25" spans="1:16">
      <c r="C25" s="3"/>
      <c r="D25" s="2"/>
      <c r="E25" s="4"/>
      <c r="F25" s="2"/>
      <c r="G25" s="1"/>
      <c r="H25" s="1"/>
    </row>
    <row r="26" spans="1:16">
      <c r="C26" s="3"/>
      <c r="D26" s="2"/>
      <c r="E26" s="4"/>
      <c r="F26" s="2"/>
      <c r="G26" s="1"/>
      <c r="H26" s="1"/>
    </row>
    <row r="27" spans="1:16">
      <c r="C27" s="3"/>
      <c r="D27" s="2"/>
      <c r="E27" s="4"/>
      <c r="F27" s="2"/>
      <c r="G27" s="1"/>
      <c r="H27" s="1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897147</xdr:colOff>
                    <xdr:row>25</xdr:row>
                    <xdr:rowOff>86264</xdr:rowOff>
                  </from>
                  <to>
                    <xdr:col>4</xdr:col>
                    <xdr:colOff>396815</xdr:colOff>
                    <xdr:row>27</xdr:row>
                    <xdr:rowOff>146649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sqref="A1:B19"/>
    </sheetView>
  </sheetViews>
  <sheetFormatPr defaultRowHeight="13.6"/>
  <sheetData>
    <row r="1" spans="1:2">
      <c r="A1">
        <v>-103.5</v>
      </c>
      <c r="B1">
        <v>3</v>
      </c>
    </row>
    <row r="2" spans="1:2">
      <c r="A2">
        <v>-94.5</v>
      </c>
      <c r="B2">
        <v>11</v>
      </c>
    </row>
    <row r="3" spans="1:2">
      <c r="A3">
        <v>-85.5</v>
      </c>
      <c r="B3">
        <v>15</v>
      </c>
    </row>
    <row r="4" spans="1:2">
      <c r="A4">
        <v>-76.5</v>
      </c>
      <c r="B4">
        <v>32</v>
      </c>
    </row>
    <row r="5" spans="1:2">
      <c r="A5">
        <v>-67.5</v>
      </c>
      <c r="B5">
        <v>66</v>
      </c>
    </row>
    <row r="6" spans="1:2">
      <c r="A6">
        <v>-58.5</v>
      </c>
      <c r="B6">
        <v>93</v>
      </c>
    </row>
    <row r="7" spans="1:2">
      <c r="A7">
        <v>-49.5</v>
      </c>
      <c r="B7">
        <v>122</v>
      </c>
    </row>
    <row r="8" spans="1:2">
      <c r="A8">
        <v>-40.5</v>
      </c>
      <c r="B8">
        <v>135</v>
      </c>
    </row>
    <row r="9" spans="1:2">
      <c r="A9">
        <v>-31.5</v>
      </c>
      <c r="B9">
        <v>126</v>
      </c>
    </row>
    <row r="10" spans="1:2">
      <c r="A10">
        <v>-22.5</v>
      </c>
      <c r="B10">
        <v>113</v>
      </c>
    </row>
    <row r="11" spans="1:2">
      <c r="A11">
        <v>-13.5</v>
      </c>
      <c r="B11">
        <v>103</v>
      </c>
    </row>
    <row r="12" spans="1:2">
      <c r="A12">
        <v>-4.5</v>
      </c>
      <c r="B12">
        <v>72</v>
      </c>
    </row>
    <row r="13" spans="1:2">
      <c r="A13">
        <v>4.5</v>
      </c>
      <c r="B13">
        <v>46</v>
      </c>
    </row>
    <row r="14" spans="1:2">
      <c r="A14">
        <v>13.5</v>
      </c>
      <c r="B14">
        <v>23</v>
      </c>
    </row>
    <row r="15" spans="1:2">
      <c r="A15">
        <v>22.5</v>
      </c>
      <c r="B15">
        <v>17</v>
      </c>
    </row>
    <row r="16" spans="1:2">
      <c r="A16">
        <v>31.5</v>
      </c>
      <c r="B16">
        <v>10</v>
      </c>
    </row>
    <row r="17" spans="1:2">
      <c r="A17">
        <v>40.5</v>
      </c>
      <c r="B17">
        <v>5</v>
      </c>
    </row>
    <row r="18" spans="1:2">
      <c r="A18">
        <v>49.5</v>
      </c>
      <c r="B18">
        <v>1</v>
      </c>
    </row>
    <row r="19" spans="1:2">
      <c r="A19">
        <v>58.5</v>
      </c>
      <c r="B19">
        <v>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2:G5"/>
  <sheetViews>
    <sheetView workbookViewId="0">
      <selection activeCell="F5" sqref="F5"/>
    </sheetView>
  </sheetViews>
  <sheetFormatPr defaultRowHeight="13.6"/>
  <sheetData>
    <row r="2" spans="6:7">
      <c r="F2">
        <v>0.79591961283422852</v>
      </c>
    </row>
    <row r="5" spans="6:7">
      <c r="F5" t="e">
        <f>TRIDIST(F2,-6,-9,-8)</f>
        <v>#VALUE!</v>
      </c>
      <c r="G5">
        <f>triangular_inverse(F2,-6,-8,-9)</f>
        <v>-9.7824584087971118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Main</vt:lpstr>
      <vt:lpstr>Histogram Data</vt:lpstr>
      <vt:lpstr>Sheet1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2013-10-29T18:00:12Z</dcterms:created>
  <dcterms:modified xsi:type="dcterms:W3CDTF">2018-11-07T10:13:15Z</dcterms:modified>
</cp:coreProperties>
</file>