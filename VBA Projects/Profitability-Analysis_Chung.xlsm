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3\Week 4\"/>
    </mc:Choice>
  </mc:AlternateContent>
  <bookViews>
    <workbookView xWindow="0" yWindow="0" windowWidth="20486" windowHeight="7757" activeTab="1"/>
  </bookViews>
  <sheets>
    <sheet name="Main" sheetId="1" r:id="rId1"/>
    <sheet name="Histogram" sheetId="144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<sst xmlns="http://schemas.openxmlformats.org/spreadsheetml/2006/main" count="29" uniqueCount="24">
  <si>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</si>
  <si>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</si>
  <si>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</si>
  <si>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</si>
  <si>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</si>
  <si>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</si>
  <si>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</si>
  <si>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</si>
  <si>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</si>
  <si>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</si>
  <si>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</si>
  <si>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</si>
  <si>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</si>
  <si>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</si>
  <si>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</si>
  <si>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</si>
  <si>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</si>
  <si>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</si>
  <si>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</si>
  <si>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</si>
  <si>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</si>
  <si>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</si>
  <si>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</si>
  <si>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0.35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</si>
</sst>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76" formatCode="0.0%"/>
    <numFmt numFmtId="177" formatCode="0.0"/>
  </numFmts>
  <fonts count="5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4"/>
      <color rgb="FF000000"/>
      <name val="Calibri"/>
      <family val="2"/>
    </font>
    <font>
      <sz val="11"/>
      <color rgb="FF000000"/>
      <name val="新細明體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176" fontId="0" fillId="2" borderId="4" xfId="2" applyNumberFormat="1" applyFont="1" applyFill="1" applyBorder="1"/>
    <xf numFmtId="177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77" fontId="0" fillId="2" borderId="4" xfId="0" applyNumberFormat="1" applyFill="1" applyBorder="1"/>
    <xf numFmtId="177" fontId="0" fillId="2" borderId="2" xfId="0" applyNumberFormat="1" applyFill="1" applyBorder="1"/>
    <xf numFmtId="2" fontId="0" fillId="2" borderId="2" xfId="0" applyNumberFormat="1" applyFill="1" applyBorder="1" applyAlignment="1">
      <alignment horizontal="right"/>
    </xf>
    <xf numFmtId="0" fontId="0" fillId="2" borderId="4" xfId="0" applyFill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0</c:v>
                </c:pt>
                <c:pt idx="1">
                  <c:v>-63</c:v>
                </c:pt>
                <c:pt idx="2">
                  <c:v>-57</c:v>
                </c:pt>
                <c:pt idx="3">
                  <c:v>-51</c:v>
                </c:pt>
                <c:pt idx="4">
                  <c:v>-45</c:v>
                </c:pt>
                <c:pt idx="5">
                  <c:v>-39</c:v>
                </c:pt>
                <c:pt idx="6">
                  <c:v>-33</c:v>
                </c:pt>
                <c:pt idx="7">
                  <c:v>-27</c:v>
                </c:pt>
                <c:pt idx="8">
                  <c:v>-21</c:v>
                </c:pt>
                <c:pt idx="9">
                  <c:v>-15</c:v>
                </c:pt>
                <c:pt idx="10">
                  <c:v>-9</c:v>
                </c:pt>
                <c:pt idx="11">
                  <c:v>-3</c:v>
                </c:pt>
                <c:pt idx="12">
                  <c:v>3</c:v>
                </c:pt>
                <c:pt idx="13">
                  <c:v>9</c:v>
                </c:pt>
                <c:pt idx="14">
                  <c:v>15</c:v>
                </c:pt>
                <c:pt idx="15">
                  <c:v>21</c:v>
                </c:pt>
                <c:pt idx="16">
                  <c:v>27</c:v>
                </c:pt>
                <c:pt idx="17">
                  <c:v>33</c:v>
                </c:pt>
                <c:pt idx="18">
                  <c:v>39</c:v>
                </c:pt>
                <c:pt idx="19">
                  <c:v>45</c:v>
                </c:pt>
                <c:pt idx="20">
                  <c:v>51</c:v>
                </c:pt>
                <c:pt idx="21">
                  <c:v>57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13</c:v>
                </c:pt>
                <c:pt idx="4">
                  <c:v>23</c:v>
                </c:pt>
                <c:pt idx="5">
                  <c:v>50</c:v>
                </c:pt>
                <c:pt idx="6">
                  <c:v>44</c:v>
                </c:pt>
                <c:pt idx="7">
                  <c:v>94</c:v>
                </c:pt>
                <c:pt idx="8">
                  <c:v>92</c:v>
                </c:pt>
                <c:pt idx="9">
                  <c:v>99</c:v>
                </c:pt>
                <c:pt idx="10">
                  <c:v>116</c:v>
                </c:pt>
                <c:pt idx="11">
                  <c:v>107</c:v>
                </c:pt>
                <c:pt idx="12">
                  <c:v>90</c:v>
                </c:pt>
                <c:pt idx="13">
                  <c:v>78</c:v>
                </c:pt>
                <c:pt idx="14">
                  <c:v>63</c:v>
                </c:pt>
                <c:pt idx="15">
                  <c:v>47</c:v>
                </c:pt>
                <c:pt idx="16">
                  <c:v>20</c:v>
                </c:pt>
                <c:pt idx="17">
                  <c:v>18</c:v>
                </c:pt>
                <c:pt idx="18">
                  <c:v>18</c:v>
                </c:pt>
                <c:pt idx="19">
                  <c:v>11</c:v>
                </c:pt>
                <c:pt idx="20">
                  <c:v>4</c:v>
                </c:pt>
                <c:pt idx="2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506880"/>
        <c:axId val="195513408"/>
      </c:barChart>
      <c:catAx>
        <c:axId val="19550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95513408"/>
        <c:crosses val="autoZero"/>
        <c:auto val="1"/>
        <c:lblAlgn val="ctr"/>
        <c:lblOffset val="100"/>
        <c:noMultiLvlLbl val="0"/>
      </c:catAx>
      <c:valAx>
        <c:axId val="1955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955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4"/>
  <sheetViews>
    <sheetView tabSelected="1"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888521</xdr:colOff>
          <xdr:row>25</xdr:row>
          <xdr:rowOff>120770</xdr:rowOff>
        </xdr:from>
        <xdr:to>
          <xdr:col>5</xdr:col>
          <xdr:colOff>25879</xdr:colOff>
          <xdr:row>28</xdr:row>
          <xdr:rowOff>60385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293298</xdr:colOff>
          <xdr:row>25</xdr:row>
          <xdr:rowOff>120770</xdr:rowOff>
        </xdr:from>
        <xdr:to>
          <xdr:col>7</xdr:col>
          <xdr:colOff>276045</xdr:colOff>
          <xdr:row>28</xdr:row>
          <xdr:rowOff>51758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% of NPV &gt; 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opLeftCell="A8" zoomScaleNormal="100" workbookViewId="0">
      <selection activeCell="D29" sqref="D29"/>
    </sheetView>
  </sheetViews>
  <sheetFormatPr defaultRowHeight="13.6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>
      <c r="A1" t="s">
        <v>0</v>
      </c>
    </row>
    <row r="2" spans="1:16" ht="14.3" thickBot="1"/>
    <row r="3" spans="1:16">
      <c r="A3" t="s">
        <v>1</v>
      </c>
      <c r="B3" s="15">
        <v>-20</v>
      </c>
      <c r="D3" t="s">
        <v>2</v>
      </c>
      <c r="E3" s="14">
        <v>44.903878649866407</v>
      </c>
      <c r="G3" t="s">
        <v>3</v>
      </c>
      <c r="H3" s="5">
        <v>-8.1859375497887559</v>
      </c>
    </row>
    <row r="4" spans="1:16" ht="14.3" thickBot="1">
      <c r="A4" t="s">
        <v>4</v>
      </c>
      <c r="B4" s="6">
        <v>-14.883327481794419</v>
      </c>
      <c r="D4" t="s">
        <v>5</v>
      </c>
      <c r="E4" s="16" t="s">
        <v>23</v>
      </c>
      <c r="G4" t="s">
        <v>6</v>
      </c>
      <c r="H4" s="7">
        <v>0.14493012428283691</v>
      </c>
    </row>
    <row r="5" spans="1:16">
      <c r="A5" t="s">
        <v>7</v>
      </c>
      <c r="B5" s="8">
        <v>-113.52501523322005</v>
      </c>
      <c r="H5" s="9"/>
    </row>
    <row r="6" spans="1:16">
      <c r="A6" t="s">
        <v>8</v>
      </c>
      <c r="B6" s="8">
        <v>-18.691915810108185</v>
      </c>
      <c r="E6" t="s">
        <v>9</v>
      </c>
      <c r="H6" s="9"/>
    </row>
    <row r="7" spans="1:16" ht="14.3" thickBot="1">
      <c r="A7" t="s">
        <v>10</v>
      </c>
      <c r="B7" s="13">
        <v>-19.745344809335883</v>
      </c>
      <c r="E7" t="s">
        <v>11</v>
      </c>
      <c r="H7" s="9"/>
    </row>
    <row r="8" spans="1:16">
      <c r="M8" t="s">
        <v>12</v>
      </c>
    </row>
    <row r="9" spans="1:16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>
      <c r="A10">
        <v>1</v>
      </c>
      <c r="B10" s="10">
        <f>0.5*CTDC</f>
        <v>-56.762507616610023</v>
      </c>
      <c r="C10" s="10"/>
      <c r="D10" s="10">
        <f>Cland</f>
        <v>-20</v>
      </c>
      <c r="E10" s="10"/>
      <c r="F10" s="10"/>
      <c r="G10" s="10"/>
      <c r="H10" s="10"/>
      <c r="I10" s="10"/>
      <c r="J10" s="10"/>
      <c r="L10">
        <f>B10+D10</f>
        <v>-76.762507616610023</v>
      </c>
      <c r="M10" s="10">
        <f t="shared" ref="M10:M24" si="0">L10/(1+i)^(A10-1)</f>
        <v>-76.762507616610023</v>
      </c>
      <c r="N10" s="10">
        <f>M10</f>
        <v>-76.762507616610023</v>
      </c>
    </row>
    <row r="11" spans="1:16">
      <c r="A11">
        <v>2</v>
      </c>
      <c r="B11" s="10">
        <f>0.5*CTDC</f>
        <v>-56.762507616610023</v>
      </c>
      <c r="C11" s="10">
        <f>WC</f>
        <v>-18.691915810108185</v>
      </c>
      <c r="D11" s="10"/>
      <c r="E11" s="10"/>
      <c r="F11" s="10">
        <f>Cstart</f>
        <v>-19.745344809335883</v>
      </c>
      <c r="G11" s="10"/>
      <c r="H11" s="10"/>
      <c r="I11" s="10"/>
      <c r="J11" s="10"/>
      <c r="L11">
        <f>B11+C11+F11</f>
        <v>-95.199768236054098</v>
      </c>
      <c r="M11" s="10">
        <f t="shared" si="0"/>
        <v>-83.148976707801694</v>
      </c>
      <c r="N11" s="10">
        <f>N10+M11</f>
        <v>-159.91148432441173</v>
      </c>
    </row>
    <row r="12" spans="1:16">
      <c r="A12">
        <v>3</v>
      </c>
      <c r="B12" s="10"/>
      <c r="C12" s="10"/>
      <c r="D12" s="10"/>
      <c r="E12" s="10">
        <f t="shared" ref="E12:E24" si="1">Croyal</f>
        <v>-14.883327481794419</v>
      </c>
      <c r="F12" s="10"/>
      <c r="G12" s="10"/>
      <c r="H12" s="10">
        <f>P12*-CTDC</f>
        <v>16.222724676827145</v>
      </c>
      <c r="I12" s="10">
        <f>0.5*S</f>
        <v>22.451939324933203</v>
      </c>
      <c r="J12" s="10">
        <f>0.5*COS</f>
        <v>-4.0929687748943779</v>
      </c>
      <c r="K12" s="10">
        <f>(1-tax)*(I12-J12-H12)</f>
        <v>6.7094192249502829</v>
      </c>
      <c r="L12" s="10">
        <f t="shared" ref="L12:L23" si="2">K12+H12+E12</f>
        <v>8.0488164199830106</v>
      </c>
      <c r="M12" s="10">
        <f t="shared" si="0"/>
        <v>6.1400803931093879</v>
      </c>
      <c r="N12" s="10">
        <f t="shared" ref="N12:N23" si="3">N11+M12</f>
        <v>-153.77140393130233</v>
      </c>
      <c r="P12" s="11">
        <v>0.1429</v>
      </c>
    </row>
    <row r="13" spans="1:16">
      <c r="A13">
        <v>4</v>
      </c>
      <c r="B13" s="10"/>
      <c r="C13" s="10"/>
      <c r="D13" s="10"/>
      <c r="E13" s="10">
        <f t="shared" si="1"/>
        <v>-14.883327481794419</v>
      </c>
      <c r="F13" s="10"/>
      <c r="G13" s="10"/>
      <c r="H13" s="10">
        <f t="shared" ref="H13:H19" si="4">P13*-CTDC</f>
        <v>27.80227623061559</v>
      </c>
      <c r="I13" s="10">
        <f>0.8*S</f>
        <v>35.923102919893125</v>
      </c>
      <c r="J13" s="10">
        <f>0.8*COS</f>
        <v>-6.5487500398310052</v>
      </c>
      <c r="K13" s="10">
        <f t="shared" ref="K13:K24" si="5">(1-tax)*(I13-J13-H13)</f>
        <v>9.5352248739205532</v>
      </c>
      <c r="L13" s="10">
        <f t="shared" si="2"/>
        <v>22.454173622741727</v>
      </c>
      <c r="M13" s="10">
        <f t="shared" si="0"/>
        <v>14.960983007290682</v>
      </c>
      <c r="N13" s="10">
        <f t="shared" si="3"/>
        <v>-138.81042092401165</v>
      </c>
      <c r="P13" s="11">
        <v>0.24490000000000001</v>
      </c>
    </row>
    <row r="14" spans="1:16">
      <c r="A14">
        <v>5</v>
      </c>
      <c r="B14" s="10"/>
      <c r="C14" s="10"/>
      <c r="D14" s="10"/>
      <c r="E14" s="10">
        <f t="shared" si="1"/>
        <v>-14.883327481794419</v>
      </c>
      <c r="F14" s="10"/>
      <c r="G14" s="10"/>
      <c r="H14" s="10">
        <f t="shared" si="4"/>
        <v>19.855525164290185</v>
      </c>
      <c r="I14" s="10">
        <f t="shared" ref="I14:I24" si="6">S</f>
        <v>44.903878649866407</v>
      </c>
      <c r="J14" s="10">
        <f t="shared" ref="J14:J24" si="7">COS</f>
        <v>-8.1859375497887559</v>
      </c>
      <c r="K14" s="10">
        <f t="shared" si="5"/>
        <v>21.602289172987234</v>
      </c>
      <c r="L14" s="10">
        <f t="shared" si="2"/>
        <v>26.574486855483002</v>
      </c>
      <c r="M14" s="10">
        <f t="shared" si="0"/>
        <v>15.464965595707985</v>
      </c>
      <c r="N14" s="10">
        <f t="shared" si="3"/>
        <v>-123.34545532830367</v>
      </c>
      <c r="P14" s="11">
        <v>0.1749</v>
      </c>
    </row>
    <row r="15" spans="1:16">
      <c r="A15">
        <v>6</v>
      </c>
      <c r="B15" s="10"/>
      <c r="C15" s="10"/>
      <c r="D15" s="10"/>
      <c r="E15" s="10">
        <f t="shared" si="1"/>
        <v>-14.883327481794419</v>
      </c>
      <c r="F15" s="10"/>
      <c r="G15" s="10"/>
      <c r="H15" s="10">
        <f t="shared" si="4"/>
        <v>14.179274402629183</v>
      </c>
      <c r="I15" s="10">
        <f t="shared" si="6"/>
        <v>44.903878649866407</v>
      </c>
      <c r="J15" s="10">
        <f t="shared" si="7"/>
        <v>-8.1859375497887559</v>
      </c>
      <c r="K15" s="10">
        <f t="shared" si="5"/>
        <v>25.291852168066885</v>
      </c>
      <c r="L15" s="10">
        <f t="shared" si="2"/>
        <v>24.587799088901654</v>
      </c>
      <c r="M15" s="10">
        <f t="shared" si="0"/>
        <v>12.497546016107162</v>
      </c>
      <c r="N15" s="10">
        <f t="shared" si="3"/>
        <v>-110.84790931219651</v>
      </c>
      <c r="P15" s="11">
        <v>0.1249</v>
      </c>
    </row>
    <row r="16" spans="1:16">
      <c r="A16">
        <v>7</v>
      </c>
      <c r="B16" s="10"/>
      <c r="C16" s="10"/>
      <c r="D16" s="10"/>
      <c r="E16" s="10">
        <f t="shared" si="1"/>
        <v>-14.883327481794419</v>
      </c>
      <c r="F16" s="10"/>
      <c r="G16" s="10"/>
      <c r="H16" s="10">
        <f t="shared" si="4"/>
        <v>10.13778386032655</v>
      </c>
      <c r="I16" s="10">
        <f t="shared" si="6"/>
        <v>44.903878649866407</v>
      </c>
      <c r="J16" s="10">
        <f t="shared" si="7"/>
        <v>-8.1859375497887559</v>
      </c>
      <c r="K16" s="10">
        <f t="shared" si="5"/>
        <v>27.918821020563598</v>
      </c>
      <c r="L16" s="10">
        <f t="shared" si="2"/>
        <v>23.173277399095731</v>
      </c>
      <c r="M16" s="10">
        <f t="shared" si="0"/>
        <v>10.287588088632431</v>
      </c>
      <c r="N16" s="10">
        <f t="shared" si="3"/>
        <v>-100.56032122356407</v>
      </c>
      <c r="P16" s="11">
        <v>8.9300000000000004E-2</v>
      </c>
    </row>
    <row r="17" spans="1:16">
      <c r="A17">
        <v>8</v>
      </c>
      <c r="B17" s="10"/>
      <c r="C17" s="10"/>
      <c r="D17" s="10"/>
      <c r="E17" s="10">
        <f t="shared" si="1"/>
        <v>-14.883327481794419</v>
      </c>
      <c r="F17" s="10"/>
      <c r="G17" s="10"/>
      <c r="H17" s="10">
        <f t="shared" si="4"/>
        <v>10.126431358803229</v>
      </c>
      <c r="I17" s="10">
        <f t="shared" si="6"/>
        <v>44.903878649866407</v>
      </c>
      <c r="J17" s="10">
        <f t="shared" si="7"/>
        <v>-8.1859375497887559</v>
      </c>
      <c r="K17" s="10">
        <f t="shared" si="5"/>
        <v>27.926200146553754</v>
      </c>
      <c r="L17" s="10">
        <f t="shared" si="2"/>
        <v>23.169304023562567</v>
      </c>
      <c r="M17" s="10">
        <f t="shared" si="0"/>
        <v>8.9838007776354623</v>
      </c>
      <c r="N17" s="10">
        <f t="shared" si="3"/>
        <v>-91.576520445928608</v>
      </c>
      <c r="P17" s="11">
        <v>8.9200000000000002E-2</v>
      </c>
    </row>
    <row r="18" spans="1:16">
      <c r="A18">
        <v>9</v>
      </c>
      <c r="B18" s="10"/>
      <c r="C18" s="10"/>
      <c r="D18" s="10"/>
      <c r="E18" s="10">
        <f t="shared" si="1"/>
        <v>-14.883327481794419</v>
      </c>
      <c r="F18" s="10"/>
      <c r="G18" s="10"/>
      <c r="H18" s="10">
        <f t="shared" si="4"/>
        <v>10.13778386032655</v>
      </c>
      <c r="I18" s="10">
        <f t="shared" si="6"/>
        <v>44.903878649866407</v>
      </c>
      <c r="J18" s="10">
        <f t="shared" si="7"/>
        <v>-8.1859375497887559</v>
      </c>
      <c r="K18" s="10">
        <f t="shared" si="5"/>
        <v>27.918821020563598</v>
      </c>
      <c r="L18" s="10">
        <f t="shared" si="2"/>
        <v>23.173277399095731</v>
      </c>
      <c r="M18" s="10">
        <f t="shared" si="0"/>
        <v>7.8479387054439735</v>
      </c>
      <c r="N18" s="10">
        <f t="shared" si="3"/>
        <v>-83.728581740484628</v>
      </c>
      <c r="P18" s="11">
        <v>8.9300000000000004E-2</v>
      </c>
    </row>
    <row r="19" spans="1:16">
      <c r="A19">
        <v>10</v>
      </c>
      <c r="B19" s="10"/>
      <c r="C19" s="10"/>
      <c r="D19" s="10"/>
      <c r="E19" s="10">
        <f t="shared" si="1"/>
        <v>-14.883327481794419</v>
      </c>
      <c r="F19" s="10"/>
      <c r="G19" s="10"/>
      <c r="H19" s="10">
        <f t="shared" si="4"/>
        <v>5.0632156794016145</v>
      </c>
      <c r="I19" s="10">
        <f t="shared" si="6"/>
        <v>44.903878649866407</v>
      </c>
      <c r="J19" s="10">
        <f t="shared" si="7"/>
        <v>-8.1859375497887559</v>
      </c>
      <c r="K19" s="10">
        <f t="shared" si="5"/>
        <v>31.217290338164805</v>
      </c>
      <c r="L19" s="10">
        <f t="shared" si="2"/>
        <v>21.397178535771999</v>
      </c>
      <c r="M19" s="10">
        <f t="shared" si="0"/>
        <v>6.3291541039672099</v>
      </c>
      <c r="N19" s="10">
        <f t="shared" si="3"/>
        <v>-77.399427636517416</v>
      </c>
      <c r="P19" s="11">
        <v>4.4600000000000001E-2</v>
      </c>
    </row>
    <row r="20" spans="1:16">
      <c r="A20">
        <v>11</v>
      </c>
      <c r="B20" s="10"/>
      <c r="C20" s="10"/>
      <c r="D20" s="10"/>
      <c r="E20" s="10">
        <f t="shared" si="1"/>
        <v>-14.883327481794419</v>
      </c>
      <c r="F20" s="10"/>
      <c r="G20" s="10"/>
      <c r="H20" s="10"/>
      <c r="I20" s="10">
        <f t="shared" si="6"/>
        <v>44.903878649866407</v>
      </c>
      <c r="J20" s="10">
        <f t="shared" si="7"/>
        <v>-8.1859375497887559</v>
      </c>
      <c r="K20" s="10">
        <f t="shared" si="5"/>
        <v>34.508380529775856</v>
      </c>
      <c r="L20" s="10">
        <f t="shared" si="2"/>
        <v>19.625053047981439</v>
      </c>
      <c r="M20" s="10">
        <f t="shared" si="0"/>
        <v>5.0701524367891118</v>
      </c>
      <c r="N20" s="10">
        <f t="shared" si="3"/>
        <v>-72.329275199728301</v>
      </c>
    </row>
    <row r="21" spans="1:16">
      <c r="A21">
        <v>12</v>
      </c>
      <c r="B21" s="10"/>
      <c r="C21" s="10"/>
      <c r="D21" s="10"/>
      <c r="E21" s="10">
        <f t="shared" si="1"/>
        <v>-14.883327481794419</v>
      </c>
      <c r="F21" s="10"/>
      <c r="G21" s="10"/>
      <c r="H21" s="10"/>
      <c r="I21" s="10">
        <f t="shared" si="6"/>
        <v>44.903878649866407</v>
      </c>
      <c r="J21" s="10">
        <f t="shared" si="7"/>
        <v>-8.1859375497887559</v>
      </c>
      <c r="K21" s="10">
        <f t="shared" si="5"/>
        <v>34.508380529775856</v>
      </c>
      <c r="L21" s="10">
        <f t="shared" si="2"/>
        <v>19.625053047981439</v>
      </c>
      <c r="M21" s="10">
        <f t="shared" si="0"/>
        <v>4.4283509790302364</v>
      </c>
      <c r="N21" s="10">
        <f t="shared" si="3"/>
        <v>-67.900924220698059</v>
      </c>
    </row>
    <row r="22" spans="1:16">
      <c r="A22">
        <v>13</v>
      </c>
      <c r="B22" s="10"/>
      <c r="C22" s="10"/>
      <c r="D22" s="10"/>
      <c r="E22" s="10">
        <f t="shared" si="1"/>
        <v>-14.883327481794419</v>
      </c>
      <c r="F22" s="10"/>
      <c r="G22" s="10"/>
      <c r="H22" s="10"/>
      <c r="I22" s="10">
        <f t="shared" si="6"/>
        <v>44.903878649866407</v>
      </c>
      <c r="J22" s="10">
        <f t="shared" si="7"/>
        <v>-8.1859375497887559</v>
      </c>
      <c r="K22" s="10">
        <f t="shared" si="5"/>
        <v>34.508380529775856</v>
      </c>
      <c r="L22" s="10">
        <f t="shared" si="2"/>
        <v>19.625053047981439</v>
      </c>
      <c r="M22" s="10">
        <f t="shared" si="0"/>
        <v>3.8677914792433938</v>
      </c>
      <c r="N22" s="10">
        <f t="shared" si="3"/>
        <v>-64.033132741454665</v>
      </c>
    </row>
    <row r="23" spans="1:16" ht="14.3" thickBot="1">
      <c r="A23">
        <v>14</v>
      </c>
      <c r="B23" s="10"/>
      <c r="C23" s="10"/>
      <c r="D23" s="10"/>
      <c r="E23" s="10">
        <f t="shared" si="1"/>
        <v>-14.883327481794419</v>
      </c>
      <c r="F23" s="10"/>
      <c r="G23" s="10"/>
      <c r="H23" s="10"/>
      <c r="I23" s="10">
        <f t="shared" si="6"/>
        <v>44.903878649866407</v>
      </c>
      <c r="J23" s="10">
        <f t="shared" si="7"/>
        <v>-8.1859375497887559</v>
      </c>
      <c r="K23" s="10">
        <f t="shared" si="5"/>
        <v>34.508380529775856</v>
      </c>
      <c r="L23" s="10">
        <f t="shared" si="2"/>
        <v>19.625053047981439</v>
      </c>
      <c r="M23" s="10">
        <f t="shared" si="0"/>
        <v>3.3781899848832322</v>
      </c>
      <c r="N23" s="10">
        <f t="shared" si="3"/>
        <v>-60.65494275657143</v>
      </c>
    </row>
    <row r="24" spans="1:16" ht="14.3" thickBot="1">
      <c r="A24">
        <v>15</v>
      </c>
      <c r="B24" s="10"/>
      <c r="C24" s="10">
        <f>-WC</f>
        <v>18.691915810108185</v>
      </c>
      <c r="D24" s="10"/>
      <c r="E24" s="10">
        <f t="shared" si="1"/>
        <v>-14.883327481794419</v>
      </c>
      <c r="F24" s="10"/>
      <c r="G24" s="10"/>
      <c r="H24" s="10"/>
      <c r="I24" s="10">
        <f t="shared" si="6"/>
        <v>44.903878649866407</v>
      </c>
      <c r="J24" s="10">
        <f t="shared" si="7"/>
        <v>-8.1859375497887559</v>
      </c>
      <c r="K24" s="10">
        <f t="shared" si="5"/>
        <v>34.508380529775856</v>
      </c>
      <c r="L24" s="10">
        <f>C24+K24+G24+E24</f>
        <v>38.316968858089623</v>
      </c>
      <c r="M24" s="10">
        <f t="shared" si="0"/>
        <v>5.7608344428093394</v>
      </c>
      <c r="N24" s="12">
        <f>N23+M24</f>
        <v>-54.894108313762089</v>
      </c>
    </row>
    <row r="25" spans="1:16">
      <c r="C25" s="3"/>
      <c r="D25" s="2"/>
      <c r="E25" s="4"/>
      <c r="F25" s="2"/>
      <c r="G25" s="1"/>
      <c r="H25" s="1"/>
    </row>
    <row r="26" spans="1:16">
      <c r="C26" s="3"/>
      <c r="D26" s="2"/>
      <c r="E26" s="4"/>
      <c r="F26" s="2"/>
      <c r="G26" s="1"/>
      <c r="H26" s="1"/>
    </row>
    <row r="27" spans="1:16">
      <c r="C27" s="3"/>
      <c r="D27" s="2"/>
      <c r="E27" s="4"/>
      <c r="F27" s="2"/>
      <c r="G27" s="1"/>
      <c r="H27" s="1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888521</xdr:colOff>
                    <xdr:row>25</xdr:row>
                    <xdr:rowOff>120770</xdr:rowOff>
                  </from>
                  <to>
                    <xdr:col>5</xdr:col>
                    <xdr:colOff>25879</xdr:colOff>
                    <xdr:row>28</xdr:row>
                    <xdr:rowOff>60385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pProfitable">
                <anchor moveWithCells="1" sizeWithCells="1">
                  <from>
                    <xdr:col>5</xdr:col>
                    <xdr:colOff>293298</xdr:colOff>
                    <xdr:row>25</xdr:row>
                    <xdr:rowOff>120770</xdr:rowOff>
                  </from>
                  <to>
                    <xdr:col>7</xdr:col>
                    <xdr:colOff>276045</xdr:colOff>
                    <xdr:row>28</xdr:row>
                    <xdr:rowOff>51758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sqref="A1:B22"/>
    </sheetView>
  </sheetViews>
  <sheetFormatPr defaultRowHeight="13.6"/>
  <sheetData>
    <row r="1" spans="1:2">
      <c r="A1">
        <v>0</v>
      </c>
      <c r="B1">
        <v>0</v>
      </c>
    </row>
    <row r="2" spans="1:2">
      <c r="A2">
        <v>-63</v>
      </c>
      <c r="B2">
        <v>0</v>
      </c>
    </row>
    <row r="3" spans="1:2">
      <c r="A3">
        <v>-57</v>
      </c>
      <c r="B3">
        <v>10</v>
      </c>
    </row>
    <row r="4" spans="1:2">
      <c r="A4">
        <v>-51</v>
      </c>
      <c r="B4">
        <v>13</v>
      </c>
    </row>
    <row r="5" spans="1:2">
      <c r="A5">
        <v>-45</v>
      </c>
      <c r="B5">
        <v>23</v>
      </c>
    </row>
    <row r="6" spans="1:2">
      <c r="A6">
        <v>-39</v>
      </c>
      <c r="B6">
        <v>50</v>
      </c>
    </row>
    <row r="7" spans="1:2">
      <c r="A7">
        <v>-33</v>
      </c>
      <c r="B7">
        <v>44</v>
      </c>
    </row>
    <row r="8" spans="1:2">
      <c r="A8">
        <v>-27</v>
      </c>
      <c r="B8">
        <v>94</v>
      </c>
    </row>
    <row r="9" spans="1:2">
      <c r="A9">
        <v>-21</v>
      </c>
      <c r="B9">
        <v>92</v>
      </c>
    </row>
    <row r="10" spans="1:2">
      <c r="A10">
        <v>-15</v>
      </c>
      <c r="B10">
        <v>99</v>
      </c>
    </row>
    <row r="11" spans="1:2">
      <c r="A11">
        <v>-9</v>
      </c>
      <c r="B11">
        <v>116</v>
      </c>
    </row>
    <row r="12" spans="1:2">
      <c r="A12">
        <v>-3</v>
      </c>
      <c r="B12">
        <v>107</v>
      </c>
    </row>
    <row r="13" spans="1:2">
      <c r="A13">
        <v>3</v>
      </c>
      <c r="B13">
        <v>90</v>
      </c>
    </row>
    <row r="14" spans="1:2">
      <c r="A14">
        <v>9</v>
      </c>
      <c r="B14">
        <v>78</v>
      </c>
    </row>
    <row r="15" spans="1:2">
      <c r="A15">
        <v>15</v>
      </c>
      <c r="B15">
        <v>63</v>
      </c>
    </row>
    <row r="16" spans="1:2">
      <c r="A16">
        <v>21</v>
      </c>
      <c r="B16">
        <v>47</v>
      </c>
    </row>
    <row r="17" spans="1:2">
      <c r="A17">
        <v>27</v>
      </c>
      <c r="B17">
        <v>20</v>
      </c>
    </row>
    <row r="18" spans="1:2">
      <c r="A18">
        <v>33</v>
      </c>
      <c r="B18">
        <v>18</v>
      </c>
    </row>
    <row r="19" spans="1:2">
      <c r="A19">
        <v>39</v>
      </c>
      <c r="B19">
        <v>18</v>
      </c>
    </row>
    <row r="20" spans="1:2">
      <c r="A20">
        <v>45</v>
      </c>
      <c r="B20">
        <v>11</v>
      </c>
    </row>
    <row r="21" spans="1:2">
      <c r="A21">
        <v>51</v>
      </c>
      <c r="B21">
        <v>4</v>
      </c>
    </row>
    <row r="22" spans="1:2">
      <c r="A22">
        <v>57</v>
      </c>
      <c r="B22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2013-10-29T18:00:12Z</dcterms:created>
  <dcterms:modified xsi:type="dcterms:W3CDTF">2018-11-08T12:32:39Z</dcterms:modified>
</cp:coreProperties>
</file>