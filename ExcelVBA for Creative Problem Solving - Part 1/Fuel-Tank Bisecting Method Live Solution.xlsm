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oursera 2018 Excel VBA SQL Courses\Coursera Excel VBA Course\"/>
    </mc:Choice>
  </mc:AlternateContent>
  <bookViews>
    <workbookView xWindow="0" yWindow="0" windowWidth="18557" windowHeight="6928"/>
  </bookViews>
  <sheets>
    <sheet name="Fuel Tank" sheetId="1" r:id="rId1"/>
  </sheets>
  <definedNames>
    <definedName name="h">'Fuel Tank'!#REF!</definedName>
    <definedName name="L">'Fuel Tank'!$B$3</definedName>
    <definedName name="Rad">'Fuel Tank'!$B$4</definedName>
    <definedName name="solver_adj" localSheetId="0" hidden="1">'Fuel Tank'!$B$6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'Fuel Tank'!$B$7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3300</definedName>
    <definedName name="solver_ver" localSheetId="0" hidden="1">3</definedName>
    <definedName name="Vtot">'Fuel Tank'!$B$7</definedName>
  </definedNam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J21" i="1" l="1"/>
  <c r="H21" i="1" s="1"/>
  <c r="I21" i="1" s="1"/>
  <c r="K21" i="1" l="1"/>
  <c r="G21" i="1"/>
  <c r="J22" i="1" l="1"/>
  <c r="K22" i="1" s="1"/>
  <c r="F22" i="1"/>
  <c r="G22" i="1" l="1"/>
  <c r="H22" i="1"/>
  <c r="I22" i="1" s="1"/>
  <c r="F23" i="1" l="1"/>
  <c r="J23" i="1"/>
  <c r="K23" i="1" s="1"/>
  <c r="H23" i="1" l="1"/>
  <c r="I23" i="1" s="1"/>
  <c r="G23" i="1"/>
  <c r="F24" i="1" l="1"/>
  <c r="J24" i="1"/>
  <c r="K24" i="1" s="1"/>
  <c r="G24" i="1"/>
  <c r="H24" i="1" l="1"/>
  <c r="I24" i="1" s="1"/>
  <c r="F25" i="1" s="1"/>
  <c r="G25" i="1" s="1"/>
  <c r="J25" i="1" l="1"/>
  <c r="K25" i="1" s="1"/>
  <c r="H25" i="1" l="1"/>
  <c r="I25" i="1" s="1"/>
  <c r="F26" i="1" s="1"/>
  <c r="G26" i="1" s="1"/>
  <c r="J26" i="1" l="1"/>
  <c r="K26" i="1" s="1"/>
  <c r="H26" i="1"/>
  <c r="I26" i="1" s="1"/>
  <c r="F27" i="1" s="1"/>
  <c r="G27" i="1" s="1"/>
  <c r="J27" i="1" l="1"/>
  <c r="K27" i="1" s="1"/>
  <c r="H27" i="1" l="1"/>
  <c r="I27" i="1" s="1"/>
  <c r="F28" i="1" s="1"/>
  <c r="G28" i="1" s="1"/>
  <c r="J28" i="1" l="1"/>
  <c r="K28" i="1" s="1"/>
  <c r="H28" i="1"/>
  <c r="I28" i="1" s="1"/>
  <c r="F29" i="1" s="1"/>
  <c r="G29" i="1" s="1"/>
  <c r="J29" i="1" l="1"/>
  <c r="K29" i="1" s="1"/>
  <c r="H29" i="1"/>
  <c r="I29" i="1" s="1"/>
  <c r="F30" i="1" s="1"/>
  <c r="J30" i="1" l="1"/>
  <c r="K30" i="1" s="1"/>
  <c r="G30" i="1"/>
  <c r="H30" i="1" l="1"/>
  <c r="I30" i="1" s="1"/>
  <c r="F31" i="1" s="1"/>
  <c r="G31" i="1" s="1"/>
  <c r="J31" i="1" l="1"/>
  <c r="K31" i="1" s="1"/>
  <c r="H31" i="1" l="1"/>
  <c r="I31" i="1" s="1"/>
  <c r="J32" i="1" s="1"/>
  <c r="K32" i="1" s="1"/>
  <c r="F32" i="1" l="1"/>
  <c r="H32" i="1" s="1"/>
  <c r="I32" i="1" s="1"/>
  <c r="G32" i="1" l="1"/>
  <c r="F33" i="1" s="1"/>
  <c r="J33" i="1" l="1"/>
  <c r="K33" i="1" s="1"/>
  <c r="G33" i="1"/>
  <c r="H33" i="1" l="1"/>
  <c r="I33" i="1" s="1"/>
  <c r="J34" i="1" s="1"/>
  <c r="K34" i="1" s="1"/>
  <c r="F34" i="1" l="1"/>
  <c r="G34" i="1"/>
  <c r="H34" i="1"/>
  <c r="I34" i="1" s="1"/>
  <c r="F35" i="1" l="1"/>
  <c r="J35" i="1"/>
  <c r="K35" i="1" s="1"/>
  <c r="G35" i="1" l="1"/>
  <c r="H35" i="1"/>
  <c r="I35" i="1" s="1"/>
  <c r="F36" i="1" l="1"/>
  <c r="J36" i="1"/>
  <c r="K36" i="1" s="1"/>
  <c r="H36" i="1" l="1"/>
  <c r="I36" i="1" s="1"/>
  <c r="G36" i="1"/>
  <c r="F37" i="1" l="1"/>
  <c r="J37" i="1"/>
  <c r="K37" i="1" s="1"/>
  <c r="G37" i="1" l="1"/>
  <c r="H37" i="1"/>
  <c r="I37" i="1" s="1"/>
  <c r="F38" i="1" l="1"/>
  <c r="J38" i="1"/>
  <c r="K38" i="1" s="1"/>
  <c r="H38" i="1" l="1"/>
  <c r="I38" i="1" s="1"/>
  <c r="G38" i="1"/>
  <c r="F39" i="1" l="1"/>
  <c r="J39" i="1"/>
  <c r="K39" i="1" s="1"/>
  <c r="G39" i="1" l="1"/>
  <c r="H39" i="1"/>
  <c r="I39" i="1" s="1"/>
  <c r="F40" i="1" l="1"/>
  <c r="J40" i="1"/>
  <c r="K40" i="1" s="1"/>
  <c r="H40" i="1" l="1"/>
  <c r="I40" i="1" s="1"/>
  <c r="G40" i="1"/>
  <c r="F41" i="1" l="1"/>
  <c r="J41" i="1"/>
  <c r="K41" i="1" s="1"/>
  <c r="G41" i="1" l="1"/>
  <c r="H41" i="1"/>
  <c r="I41" i="1" l="1"/>
  <c r="B9" i="1"/>
  <c r="B10" i="1" s="1"/>
  <c r="B16" i="1" s="1"/>
</calcChain>
</file>

<file path=xl/sharedStrings.xml><?xml version="1.0" encoding="utf-8"?>
<sst xmlns="http://schemas.openxmlformats.org/spreadsheetml/2006/main" count="20" uniqueCount="19">
  <si>
    <t>R</t>
  </si>
  <si>
    <t>ft</t>
  </si>
  <si>
    <t>L</t>
  </si>
  <si>
    <t>Fuel Storage Tank</t>
  </si>
  <si>
    <t>iteration</t>
    <phoneticPr fontId="1" type="noConversion"/>
  </si>
  <si>
    <t>low</t>
    <phoneticPr fontId="1" type="noConversion"/>
  </si>
  <si>
    <t>f(low)</t>
    <phoneticPr fontId="1" type="noConversion"/>
  </si>
  <si>
    <t>mid</t>
    <phoneticPr fontId="1" type="noConversion"/>
  </si>
  <si>
    <t>f(mid)</t>
    <phoneticPr fontId="1" type="noConversion"/>
  </si>
  <si>
    <t>high</t>
    <phoneticPr fontId="1" type="noConversion"/>
  </si>
  <si>
    <t>f(high)</t>
    <phoneticPr fontId="1" type="noConversion"/>
  </si>
  <si>
    <t>Vtot</t>
    <phoneticPr fontId="1" type="noConversion"/>
  </si>
  <si>
    <t>gal</t>
    <phoneticPr fontId="1" type="noConversion"/>
  </si>
  <si>
    <t>ft^3</t>
    <phoneticPr fontId="1" type="noConversion"/>
  </si>
  <si>
    <t>h</t>
    <phoneticPr fontId="1" type="noConversion"/>
  </si>
  <si>
    <t>ft</t>
    <phoneticPr fontId="1" type="noConversion"/>
  </si>
  <si>
    <t>inches</t>
    <phoneticPr fontId="1" type="noConversion"/>
  </si>
  <si>
    <t>Vtot</t>
    <phoneticPr fontId="1" type="noConversion"/>
  </si>
  <si>
    <t>h(inches)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</si>
</sst>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"/>
    <numFmt numFmtId="177" formatCode="0.000_ "/>
  </numFmts>
  <fonts count="4"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sz val="11"/>
      <color theme="2" tint="-9.9978637043366805E-2"/>
      <name val="新細明體"/>
      <family val="2"/>
      <scheme val="minor"/>
    </font>
    <font>
      <sz val="11"/>
      <name val="新細明體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76" fontId="0" fillId="0" borderId="0" xfId="0" applyNumberFormat="1"/>
    <xf numFmtId="1" fontId="0" fillId="0" borderId="0" xfId="0" applyNumberFormat="1"/>
    <xf numFmtId="0" fontId="2" fillId="0" borderId="0" xfId="0" applyFont="1"/>
    <xf numFmtId="177" fontId="0" fillId="0" borderId="0" xfId="0" applyNumberFormat="1"/>
    <xf numFmtId="176" fontId="3" fillId="0" borderId="0" xfId="0" applyNumberFormat="1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wmf"/><Relationship Id="rId1" Type="http://schemas.openxmlformats.org/officeDocument/2006/relationships/image" Target="../media/image1.wmf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511628</xdr:colOff>
      <xdr:row>0</xdr:row>
      <xdr:rowOff>161924</xdr:rowOff>
    </xdr:from>
    <xdr:to>
      <xdr:col>11</xdr:col>
      <xdr:colOff>255910</xdr:colOff>
      <xdr:row>4</xdr:row>
      <xdr:rowOff>20410</xdr:rowOff>
    </xdr:to>
    <xdr:pic>
      <xdr:nvPicPr>
        <xdr:cNvPr id="11" name="Picture 10">
          <a:extLst>
            <a:ext uri="{FF2B5EF4-FFF2-40B4-BE49-F238E27FC236}">
              <a16:creationId xmlns="" xmlns:a16="http://schemas.microsoft.com/office/drawing/2014/main" id="{0856B453-0CA9-4B11-A42B-BA88323BE1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6985" y="161924"/>
          <a:ext cx="4268657" cy="579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228669</xdr:colOff>
      <xdr:row>0</xdr:row>
      <xdr:rowOff>103190</xdr:rowOff>
    </xdr:from>
    <xdr:to>
      <xdr:col>15</xdr:col>
      <xdr:colOff>228669</xdr:colOff>
      <xdr:row>3</xdr:row>
      <xdr:rowOff>140100</xdr:rowOff>
    </xdr:to>
    <xdr:pic>
      <xdr:nvPicPr>
        <xdr:cNvPr id="12" name="Picture 11">
          <a:extLst>
            <a:ext uri="{FF2B5EF4-FFF2-40B4-BE49-F238E27FC236}">
              <a16:creationId xmlns="" xmlns:a16="http://schemas.microsoft.com/office/drawing/2014/main" id="{DDD2C98A-B8C4-4673-A0C3-F7777B073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0027" y="103190"/>
          <a:ext cx="2070340" cy="554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168047</xdr:colOff>
      <xdr:row>8</xdr:row>
      <xdr:rowOff>98651</xdr:rowOff>
    </xdr:from>
    <xdr:to>
      <xdr:col>11</xdr:col>
      <xdr:colOff>358956</xdr:colOff>
      <xdr:row>16</xdr:row>
      <xdr:rowOff>164646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75139E68-4382-4B3B-B270-46DC672A6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53404" y="1541008"/>
          <a:ext cx="4715284" cy="1508352"/>
        </a:xfrm>
        <a:prstGeom prst="rect">
          <a:avLst/>
        </a:prstGeom>
      </xdr:spPr>
    </xdr:pic>
    <xdr:clientData/>
  </xdr:twoCellAnchor>
  <xdr:twoCellAnchor editAs="oneCell">
    <xdr:from>
      <xdr:col>4</xdr:col>
      <xdr:colOff>487580</xdr:colOff>
      <xdr:row>4</xdr:row>
      <xdr:rowOff>142523</xdr:rowOff>
    </xdr:from>
    <xdr:to>
      <xdr:col>11</xdr:col>
      <xdr:colOff>561550</xdr:colOff>
      <xdr:row>7</xdr:row>
      <xdr:rowOff>158271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48033" y="832636"/>
          <a:ext cx="4904762" cy="5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9"/>
  <sheetViews>
    <sheetView tabSelected="1" zoomScale="115" zoomScaleNormal="115" workbookViewId="0">
      <selection activeCell="B7" sqref="B7"/>
    </sheetView>
  </sheetViews>
  <sheetFormatPr defaultRowHeight="13.6"/>
  <sheetData>
    <row r="1" spans="1:10">
      <c r="A1" t="s">
        <v>3</v>
      </c>
    </row>
    <row r="2" spans="1:10">
      <c r="E2" s="2"/>
    </row>
    <row r="3" spans="1:10">
      <c r="A3" t="s">
        <v>2</v>
      </c>
      <c r="B3">
        <v>15</v>
      </c>
      <c r="C3" t="s">
        <v>1</v>
      </c>
    </row>
    <row r="4" spans="1:10">
      <c r="A4" t="s">
        <v>0</v>
      </c>
      <c r="B4">
        <v>3</v>
      </c>
      <c r="C4" t="s">
        <v>1</v>
      </c>
      <c r="G4" s="1"/>
    </row>
    <row r="5" spans="1:10">
      <c r="G5" s="1"/>
    </row>
    <row r="6" spans="1:10">
      <c r="A6" t="s">
        <v>11</v>
      </c>
      <c r="B6">
        <v>200</v>
      </c>
      <c r="C6" t="s">
        <v>12</v>
      </c>
    </row>
    <row r="7" spans="1:10">
      <c r="B7" s="1">
        <f>B6/7.48</f>
        <v>26.737967914438499</v>
      </c>
      <c r="C7" t="s">
        <v>13</v>
      </c>
    </row>
    <row r="9" spans="1:10">
      <c r="A9" t="s">
        <v>14</v>
      </c>
      <c r="B9" s="4">
        <f>H41</f>
        <v>0.62312221527099609</v>
      </c>
      <c r="C9" t="s">
        <v>15</v>
      </c>
    </row>
    <row r="10" spans="1:10">
      <c r="B10" s="1">
        <f>B9*12</f>
        <v>7.4774665832519531</v>
      </c>
      <c r="C10" t="s">
        <v>16</v>
      </c>
    </row>
    <row r="11" spans="1:10">
      <c r="E11" s="1"/>
    </row>
    <row r="12" spans="1:10">
      <c r="B12" s="1"/>
      <c r="J12" s="1"/>
    </row>
    <row r="13" spans="1:10">
      <c r="J13" s="1"/>
    </row>
    <row r="14" spans="1:10">
      <c r="J14" s="1"/>
    </row>
    <row r="15" spans="1:10">
      <c r="B15" t="s">
        <v>18</v>
      </c>
      <c r="C15" s="3"/>
      <c r="J15" s="1"/>
    </row>
    <row r="16" spans="1:10">
      <c r="A16" t="s">
        <v>17</v>
      </c>
      <c r="B16" s="5">
        <f>B10</f>
        <v>7.4774665832519531</v>
      </c>
      <c r="C16" s="3"/>
      <c r="J16" s="1"/>
    </row>
    <row r="17" spans="1:11">
      <c r="A17">
        <v>100</v>
      </c>
      <c r="B17" s="6">
        <f t="dataTable" ref="B17:B49" dt2D="0" dtr="0" r1="B6"/>
        <v>4.7502479553222656</v>
      </c>
      <c r="C17" s="3"/>
      <c r="J17" s="1"/>
    </row>
    <row r="18" spans="1:11">
      <c r="A18">
        <v>200</v>
      </c>
      <c r="B18" s="6">
        <v>7.4774665832519531</v>
      </c>
      <c r="C18" s="3"/>
      <c r="J18" s="1"/>
    </row>
    <row r="19" spans="1:11">
      <c r="A19">
        <v>300</v>
      </c>
      <c r="B19" s="6">
        <v>9.7600135803222656</v>
      </c>
      <c r="C19" s="3"/>
      <c r="J19" s="1"/>
    </row>
    <row r="20" spans="1:11">
      <c r="A20">
        <v>400</v>
      </c>
      <c r="B20" s="6">
        <v>11.801548004150391</v>
      </c>
      <c r="C20" s="3"/>
      <c r="E20" t="s">
        <v>4</v>
      </c>
      <c r="F20" t="s">
        <v>5</v>
      </c>
      <c r="G20" t="s">
        <v>6</v>
      </c>
      <c r="H20" t="s">
        <v>7</v>
      </c>
      <c r="I20" t="s">
        <v>8</v>
      </c>
      <c r="J20" s="1" t="s">
        <v>9</v>
      </c>
      <c r="K20" t="s">
        <v>10</v>
      </c>
    </row>
    <row r="21" spans="1:11">
      <c r="A21">
        <v>500</v>
      </c>
      <c r="B21" s="6">
        <v>13.685703277587891</v>
      </c>
      <c r="C21" s="3"/>
      <c r="E21">
        <v>0</v>
      </c>
      <c r="F21">
        <v>0</v>
      </c>
      <c r="G21">
        <f t="shared" ref="G21:G41" si="0">(PI()*F21^2*(3*Rad-F21)/3)+(Rad^2*ACOS((Rad-F21)/Rad)-(Rad-F21)*SQRT(2*Rad*F21-F21^2))*L-Vtot</f>
        <v>-26.737967914438499</v>
      </c>
      <c r="H21" s="4">
        <f>AVERAGE(F21,J21)</f>
        <v>3</v>
      </c>
      <c r="I21">
        <f t="shared" ref="I21:I41" si="1">(PI()*H21^2*(3*Rad-H21)/3)+(Rad^2*ACOS((Rad-H21)/Rad)-(Rad-H21)*SQRT(2*Rad*H21-H21^2))*L-Vtot</f>
        <v>241.8682039674888</v>
      </c>
      <c r="J21" s="1">
        <f>2*Rad</f>
        <v>6</v>
      </c>
      <c r="K21">
        <f t="shared" ref="K21:K41" si="2">(PI()*J21^2*(3*Rad-J21)/3)+(Rad^2*ACOS((Rad-J21)/Rad)-(Rad-J21)*SQRT(2*Rad*J21-J21^2))*L-Vtot</f>
        <v>510.47437584941611</v>
      </c>
    </row>
    <row r="22" spans="1:11">
      <c r="A22">
        <v>600</v>
      </c>
      <c r="B22" s="6">
        <v>15.457386016845703</v>
      </c>
      <c r="C22" s="3"/>
      <c r="E22">
        <v>1</v>
      </c>
      <c r="F22">
        <f>IF(G21*I21&lt;0, F21, H21)</f>
        <v>0</v>
      </c>
      <c r="G22">
        <f t="shared" si="0"/>
        <v>-26.737967914438499</v>
      </c>
      <c r="H22" s="4">
        <f>AVERAGE(F22,J22)</f>
        <v>1.5</v>
      </c>
      <c r="I22">
        <f t="shared" si="1"/>
        <v>73.848445418095167</v>
      </c>
      <c r="J22" s="1">
        <f>IF(G21*I21&lt;0, H21, J21)</f>
        <v>3</v>
      </c>
      <c r="K22">
        <f t="shared" si="2"/>
        <v>241.8682039674888</v>
      </c>
    </row>
    <row r="23" spans="1:11">
      <c r="A23">
        <v>700</v>
      </c>
      <c r="B23" s="6">
        <v>17.143924713134766</v>
      </c>
      <c r="C23" s="3"/>
      <c r="E23">
        <v>2</v>
      </c>
      <c r="F23">
        <f t="shared" ref="F23:F41" si="3">IF(G22*I22&lt;0, F22, H22)</f>
        <v>0</v>
      </c>
      <c r="G23">
        <f t="shared" si="0"/>
        <v>-26.737967914438499</v>
      </c>
      <c r="H23" s="4">
        <f t="shared" ref="H23:H41" si="4">AVERAGE(F23,J23)</f>
        <v>0.75</v>
      </c>
      <c r="I23">
        <f t="shared" si="1"/>
        <v>8.7202266150718586</v>
      </c>
      <c r="J23" s="1">
        <f t="shared" ref="J23:J41" si="5">IF(G22*I22&lt;0, H22, J22)</f>
        <v>1.5</v>
      </c>
      <c r="K23">
        <f t="shared" si="2"/>
        <v>73.848445418095167</v>
      </c>
    </row>
    <row r="24" spans="1:11">
      <c r="A24">
        <v>800</v>
      </c>
      <c r="B24" s="6">
        <v>18.763996124267578</v>
      </c>
      <c r="C24" s="3"/>
      <c r="E24">
        <v>3</v>
      </c>
      <c r="F24">
        <f t="shared" si="3"/>
        <v>0</v>
      </c>
      <c r="G24">
        <f t="shared" si="0"/>
        <v>-26.737967914438499</v>
      </c>
      <c r="H24" s="4">
        <f t="shared" si="4"/>
        <v>0.375</v>
      </c>
      <c r="I24">
        <f t="shared" si="1"/>
        <v>-14.431182655051851</v>
      </c>
      <c r="J24" s="1">
        <f t="shared" si="5"/>
        <v>0.75</v>
      </c>
      <c r="K24">
        <f t="shared" si="2"/>
        <v>8.7202266150718586</v>
      </c>
    </row>
    <row r="25" spans="1:11">
      <c r="A25">
        <v>900</v>
      </c>
      <c r="B25" s="6">
        <v>20.330577850341797</v>
      </c>
      <c r="C25" s="3"/>
      <c r="E25">
        <v>4</v>
      </c>
      <c r="F25">
        <f t="shared" si="3"/>
        <v>0.375</v>
      </c>
      <c r="G25">
        <f t="shared" si="0"/>
        <v>-14.431182655051851</v>
      </c>
      <c r="H25" s="4">
        <f t="shared" si="4"/>
        <v>0.5625</v>
      </c>
      <c r="I25">
        <f t="shared" si="1"/>
        <v>-3.8660975914441096</v>
      </c>
      <c r="J25" s="1">
        <f t="shared" si="5"/>
        <v>0.75</v>
      </c>
      <c r="K25">
        <f t="shared" si="2"/>
        <v>8.7202266150718586</v>
      </c>
    </row>
    <row r="26" spans="1:11">
      <c r="A26">
        <v>1000</v>
      </c>
      <c r="B26" s="6">
        <v>21.853626251220703</v>
      </c>
      <c r="C26" s="3"/>
      <c r="E26">
        <v>5</v>
      </c>
      <c r="F26">
        <f t="shared" si="3"/>
        <v>0.5625</v>
      </c>
      <c r="G26">
        <f t="shared" si="0"/>
        <v>-3.8660975914441096</v>
      </c>
      <c r="H26" s="4">
        <f t="shared" si="4"/>
        <v>0.65625</v>
      </c>
      <c r="I26">
        <f t="shared" si="1"/>
        <v>2.1970815059561275</v>
      </c>
      <c r="J26" s="1">
        <f t="shared" si="5"/>
        <v>0.75</v>
      </c>
      <c r="K26">
        <f t="shared" si="2"/>
        <v>8.7202266150718586</v>
      </c>
    </row>
    <row r="27" spans="1:11">
      <c r="A27">
        <v>1100</v>
      </c>
      <c r="B27" s="6">
        <v>23.340831756591797</v>
      </c>
      <c r="C27" s="3"/>
      <c r="E27">
        <v>6</v>
      </c>
      <c r="F27">
        <f t="shared" si="3"/>
        <v>0.5625</v>
      </c>
      <c r="G27">
        <f t="shared" si="0"/>
        <v>-3.8660975914441096</v>
      </c>
      <c r="H27" s="4">
        <f t="shared" si="4"/>
        <v>0.609375</v>
      </c>
      <c r="I27">
        <f t="shared" si="1"/>
        <v>-0.89450365130626608</v>
      </c>
      <c r="J27" s="1">
        <f t="shared" si="5"/>
        <v>0.65625</v>
      </c>
      <c r="K27">
        <f t="shared" si="2"/>
        <v>2.1970815059561275</v>
      </c>
    </row>
    <row r="28" spans="1:11">
      <c r="A28">
        <v>1200</v>
      </c>
      <c r="B28" s="6">
        <v>24.798305511474609</v>
      </c>
      <c r="C28" s="3"/>
      <c r="E28">
        <v>7</v>
      </c>
      <c r="F28">
        <f t="shared" si="3"/>
        <v>0.609375</v>
      </c>
      <c r="G28">
        <f t="shared" si="0"/>
        <v>-0.89450365130626608</v>
      </c>
      <c r="H28" s="4">
        <f t="shared" si="4"/>
        <v>0.6328125</v>
      </c>
      <c r="I28">
        <f t="shared" si="1"/>
        <v>0.63661901756723793</v>
      </c>
      <c r="J28" s="1">
        <f t="shared" si="5"/>
        <v>0.65625</v>
      </c>
      <c r="K28">
        <f t="shared" si="2"/>
        <v>2.1970815059561275</v>
      </c>
    </row>
    <row r="29" spans="1:11">
      <c r="A29">
        <v>1300</v>
      </c>
      <c r="B29" s="6">
        <v>26.231128692626953</v>
      </c>
      <c r="C29" s="3"/>
      <c r="E29">
        <v>8</v>
      </c>
      <c r="F29">
        <f t="shared" si="3"/>
        <v>0.609375</v>
      </c>
      <c r="G29">
        <f t="shared" si="0"/>
        <v>-0.89450365130626608</v>
      </c>
      <c r="H29" s="4">
        <f t="shared" si="4"/>
        <v>0.62109375</v>
      </c>
      <c r="I29">
        <f t="shared" si="1"/>
        <v>-0.13264978184044551</v>
      </c>
      <c r="J29" s="1">
        <f t="shared" si="5"/>
        <v>0.6328125</v>
      </c>
      <c r="K29">
        <f t="shared" si="2"/>
        <v>0.63661901756723793</v>
      </c>
    </row>
    <row r="30" spans="1:11">
      <c r="A30">
        <v>1400</v>
      </c>
      <c r="B30" s="6">
        <v>27.643695831298828</v>
      </c>
      <c r="C30" s="3"/>
      <c r="E30">
        <v>9</v>
      </c>
      <c r="F30">
        <f t="shared" si="3"/>
        <v>0.62109375</v>
      </c>
      <c r="G30">
        <f t="shared" si="0"/>
        <v>-0.13264978184044551</v>
      </c>
      <c r="H30" s="4">
        <f t="shared" si="4"/>
        <v>0.626953125</v>
      </c>
      <c r="I30">
        <f t="shared" si="1"/>
        <v>0.25106281745571835</v>
      </c>
      <c r="J30" s="1">
        <f t="shared" si="5"/>
        <v>0.6328125</v>
      </c>
      <c r="K30">
        <f t="shared" si="2"/>
        <v>0.63661901756723793</v>
      </c>
    </row>
    <row r="31" spans="1:11">
      <c r="A31">
        <v>1500</v>
      </c>
      <c r="B31" s="6">
        <v>29.039646148681641</v>
      </c>
      <c r="C31" s="3"/>
      <c r="E31">
        <v>10</v>
      </c>
      <c r="F31">
        <f t="shared" si="3"/>
        <v>0.62109375</v>
      </c>
      <c r="G31">
        <f t="shared" si="0"/>
        <v>-0.13264978184044551</v>
      </c>
      <c r="H31" s="4">
        <f t="shared" si="4"/>
        <v>0.6240234375</v>
      </c>
      <c r="I31">
        <f t="shared" si="1"/>
        <v>5.897543879562761E-2</v>
      </c>
      <c r="J31" s="1">
        <f t="shared" si="5"/>
        <v>0.626953125</v>
      </c>
      <c r="K31">
        <f t="shared" si="2"/>
        <v>0.25106281745571835</v>
      </c>
    </row>
    <row r="32" spans="1:11">
      <c r="A32">
        <v>1600</v>
      </c>
      <c r="B32" s="6">
        <v>30.422206878662109</v>
      </c>
      <c r="C32" s="3"/>
      <c r="E32">
        <v>11</v>
      </c>
      <c r="F32">
        <f t="shared" si="3"/>
        <v>0.62109375</v>
      </c>
      <c r="G32">
        <f t="shared" si="0"/>
        <v>-0.13264978184044551</v>
      </c>
      <c r="H32" s="4">
        <f t="shared" si="4"/>
        <v>0.62255859375</v>
      </c>
      <c r="I32">
        <f t="shared" si="1"/>
        <v>-3.6895020263138179E-2</v>
      </c>
      <c r="J32" s="1">
        <f t="shared" si="5"/>
        <v>0.6240234375</v>
      </c>
      <c r="K32">
        <f t="shared" si="2"/>
        <v>5.897543879562761E-2</v>
      </c>
    </row>
    <row r="33" spans="1:11">
      <c r="A33">
        <v>1700</v>
      </c>
      <c r="B33" s="6">
        <v>31.794467926025391</v>
      </c>
      <c r="C33" s="3"/>
      <c r="E33">
        <v>12</v>
      </c>
      <c r="F33">
        <f t="shared" si="3"/>
        <v>0.62255859375</v>
      </c>
      <c r="G33">
        <f t="shared" si="0"/>
        <v>-3.6895020263138179E-2</v>
      </c>
      <c r="H33" s="4">
        <f t="shared" si="4"/>
        <v>0.623291015625</v>
      </c>
      <c r="I33">
        <f t="shared" si="1"/>
        <v>1.1025756971370981E-2</v>
      </c>
      <c r="J33" s="1">
        <f t="shared" si="5"/>
        <v>0.6240234375</v>
      </c>
      <c r="K33">
        <f t="shared" si="2"/>
        <v>5.897543879562761E-2</v>
      </c>
    </row>
    <row r="34" spans="1:11">
      <c r="A34">
        <v>1800</v>
      </c>
      <c r="B34" s="6">
        <v>33.159107208251953</v>
      </c>
      <c r="C34" s="3"/>
      <c r="E34">
        <v>13</v>
      </c>
      <c r="F34">
        <f t="shared" si="3"/>
        <v>0.62255859375</v>
      </c>
      <c r="G34">
        <f t="shared" si="0"/>
        <v>-3.6895020263138179E-2</v>
      </c>
      <c r="H34" s="4">
        <f t="shared" si="4"/>
        <v>0.6229248046875</v>
      </c>
      <c r="I34">
        <f t="shared" si="1"/>
        <v>-1.2938245954856598E-2</v>
      </c>
      <c r="J34" s="1">
        <f t="shared" si="5"/>
        <v>0.623291015625</v>
      </c>
      <c r="K34">
        <f t="shared" si="2"/>
        <v>1.1025756971370981E-2</v>
      </c>
    </row>
    <row r="35" spans="1:11">
      <c r="A35">
        <v>1900</v>
      </c>
      <c r="B35" s="6">
        <v>34.518665313720703</v>
      </c>
      <c r="C35" s="3"/>
      <c r="E35">
        <v>14</v>
      </c>
      <c r="F35">
        <f t="shared" si="3"/>
        <v>0.6229248046875</v>
      </c>
      <c r="G35">
        <f t="shared" si="0"/>
        <v>-1.2938245954856598E-2</v>
      </c>
      <c r="H35" s="4">
        <f t="shared" si="4"/>
        <v>0.62310791015625</v>
      </c>
      <c r="I35">
        <f t="shared" si="1"/>
        <v>-9.5714791451939618E-4</v>
      </c>
      <c r="J35" s="1">
        <f t="shared" si="5"/>
        <v>0.623291015625</v>
      </c>
      <c r="K35">
        <f t="shared" si="2"/>
        <v>1.1025756971370981E-2</v>
      </c>
    </row>
    <row r="36" spans="1:11">
      <c r="A36">
        <v>2000</v>
      </c>
      <c r="B36" s="6">
        <v>35.875545501708984</v>
      </c>
      <c r="C36" s="3"/>
      <c r="E36">
        <v>15</v>
      </c>
      <c r="F36">
        <f t="shared" si="3"/>
        <v>0.62310791015625</v>
      </c>
      <c r="G36">
        <f t="shared" si="0"/>
        <v>-9.5714791451939618E-4</v>
      </c>
      <c r="H36" s="4">
        <f t="shared" si="4"/>
        <v>0.623199462890625</v>
      </c>
      <c r="I36">
        <f t="shared" si="1"/>
        <v>5.0340786920308744E-3</v>
      </c>
      <c r="J36" s="1">
        <f t="shared" si="5"/>
        <v>0.623291015625</v>
      </c>
      <c r="K36">
        <f t="shared" si="2"/>
        <v>1.1025756971370981E-2</v>
      </c>
    </row>
    <row r="37" spans="1:11">
      <c r="A37">
        <v>2100</v>
      </c>
      <c r="B37" s="6">
        <v>37.232288360595703</v>
      </c>
      <c r="C37" s="3"/>
      <c r="E37">
        <v>16</v>
      </c>
      <c r="F37">
        <f t="shared" si="3"/>
        <v>0.62310791015625</v>
      </c>
      <c r="G37">
        <f t="shared" si="0"/>
        <v>-9.5714791451939618E-4</v>
      </c>
      <c r="H37" s="4">
        <f t="shared" si="4"/>
        <v>0.6231536865234375</v>
      </c>
      <c r="I37">
        <f t="shared" si="1"/>
        <v>2.0384089272482697E-3</v>
      </c>
      <c r="J37" s="1">
        <f t="shared" si="5"/>
        <v>0.623199462890625</v>
      </c>
      <c r="K37">
        <f t="shared" si="2"/>
        <v>5.0340786920308744E-3</v>
      </c>
    </row>
    <row r="38" spans="1:11">
      <c r="A38">
        <v>2200</v>
      </c>
      <c r="B38" s="6">
        <v>38.591159820556641</v>
      </c>
      <c r="C38" s="3"/>
      <c r="E38">
        <v>17</v>
      </c>
      <c r="F38">
        <f t="shared" si="3"/>
        <v>0.62310791015625</v>
      </c>
      <c r="G38">
        <f t="shared" si="0"/>
        <v>-9.5714791451939618E-4</v>
      </c>
      <c r="H38" s="4">
        <f t="shared" si="4"/>
        <v>0.62313079833984375</v>
      </c>
      <c r="I38">
        <f t="shared" si="1"/>
        <v>5.4061639068336831E-4</v>
      </c>
      <c r="J38" s="1">
        <f t="shared" si="5"/>
        <v>0.6231536865234375</v>
      </c>
      <c r="K38">
        <f t="shared" si="2"/>
        <v>2.0384089272482697E-3</v>
      </c>
    </row>
    <row r="39" spans="1:11">
      <c r="A39">
        <v>2300</v>
      </c>
      <c r="B39" s="6">
        <v>39.954631805419922</v>
      </c>
      <c r="C39" s="3"/>
      <c r="E39">
        <v>18</v>
      </c>
      <c r="F39">
        <f t="shared" si="3"/>
        <v>0.62310791015625</v>
      </c>
      <c r="G39">
        <f t="shared" si="0"/>
        <v>-9.5714791451939618E-4</v>
      </c>
      <c r="H39" s="4">
        <f t="shared" si="4"/>
        <v>0.62311935424804688</v>
      </c>
      <c r="I39">
        <f t="shared" si="1"/>
        <v>-2.0826929085870916E-4</v>
      </c>
      <c r="J39" s="1">
        <f t="shared" si="5"/>
        <v>0.62313079833984375</v>
      </c>
      <c r="K39">
        <f t="shared" si="2"/>
        <v>5.4061639068336831E-4</v>
      </c>
    </row>
    <row r="40" spans="1:11">
      <c r="A40">
        <v>2400</v>
      </c>
      <c r="B40" s="6">
        <v>41.325313568115234</v>
      </c>
      <c r="C40" s="3"/>
      <c r="E40">
        <v>19</v>
      </c>
      <c r="F40">
        <f t="shared" si="3"/>
        <v>0.62311935424804688</v>
      </c>
      <c r="G40">
        <f t="shared" si="0"/>
        <v>-2.0826929085870916E-4</v>
      </c>
      <c r="H40" s="4">
        <f t="shared" si="4"/>
        <v>0.62312507629394531</v>
      </c>
      <c r="I40">
        <f t="shared" si="1"/>
        <v>1.6617266766516536E-4</v>
      </c>
      <c r="J40" s="1">
        <f t="shared" si="5"/>
        <v>0.62313079833984375</v>
      </c>
      <c r="K40">
        <f t="shared" si="2"/>
        <v>5.4061639068336831E-4</v>
      </c>
    </row>
    <row r="41" spans="1:11">
      <c r="A41">
        <v>2500</v>
      </c>
      <c r="B41" s="6">
        <v>42.705814361572266</v>
      </c>
      <c r="C41" s="3"/>
      <c r="E41">
        <v>20</v>
      </c>
      <c r="F41">
        <f t="shared" si="3"/>
        <v>0.62311935424804688</v>
      </c>
      <c r="G41">
        <f t="shared" si="0"/>
        <v>-2.0826929085870916E-4</v>
      </c>
      <c r="H41" s="4">
        <f t="shared" si="4"/>
        <v>0.62312221527099609</v>
      </c>
      <c r="I41">
        <f t="shared" si="1"/>
        <v>-2.1048532165224287E-5</v>
      </c>
      <c r="J41" s="1">
        <f t="shared" si="5"/>
        <v>0.62312507629394531</v>
      </c>
      <c r="K41">
        <f t="shared" si="2"/>
        <v>1.6617266766516536E-4</v>
      </c>
    </row>
    <row r="42" spans="1:11">
      <c r="A42">
        <v>2600</v>
      </c>
      <c r="B42" s="6">
        <v>44.099018096923828</v>
      </c>
      <c r="C42" s="3"/>
      <c r="J42" s="1"/>
    </row>
    <row r="43" spans="1:11">
      <c r="A43">
        <v>2700</v>
      </c>
      <c r="B43" s="6">
        <v>45.508289337158203</v>
      </c>
      <c r="C43" s="3"/>
      <c r="J43" s="1"/>
    </row>
    <row r="44" spans="1:11">
      <c r="A44">
        <v>2800</v>
      </c>
      <c r="B44" s="6">
        <v>46.937129974365234</v>
      </c>
      <c r="C44" s="3"/>
      <c r="J44" s="1"/>
    </row>
    <row r="45" spans="1:11">
      <c r="A45">
        <v>2900</v>
      </c>
      <c r="B45" s="6">
        <v>48.389728546142578</v>
      </c>
      <c r="C45" s="3"/>
      <c r="J45" s="1"/>
    </row>
    <row r="46" spans="1:11">
      <c r="A46">
        <v>3000</v>
      </c>
      <c r="B46" s="6">
        <v>49.871028900146484</v>
      </c>
      <c r="C46" s="3"/>
    </row>
    <row r="47" spans="1:11">
      <c r="A47">
        <v>3100</v>
      </c>
      <c r="B47" s="6">
        <v>51.386936187744141</v>
      </c>
      <c r="C47" s="3"/>
    </row>
    <row r="48" spans="1:11">
      <c r="A48">
        <v>3200</v>
      </c>
      <c r="B48" s="6">
        <v>52.944934844970703</v>
      </c>
      <c r="C48" s="3"/>
    </row>
    <row r="49" spans="1:3">
      <c r="A49">
        <v>3300</v>
      </c>
      <c r="B49" s="6">
        <v>54.554225921630859</v>
      </c>
      <c r="C49" s="3"/>
    </row>
  </sheetData>
  <phoneticPr fontId="1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Fuel Tank</vt:lpstr>
      <vt:lpstr>L</vt:lpstr>
      <vt:lpstr>Rad</vt:lpstr>
      <vt:lpstr>Vtot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user</cp:lastModifiedBy>
  <dcterms:created xsi:type="dcterms:W3CDTF">2016-02-04T16:31:35Z</dcterms:created>
  <dcterms:modified xsi:type="dcterms:W3CDTF">2018-10-12T17:54:04Z</dcterms:modified>
</cp:coreProperties>
</file>