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"/>
    </mc:Choice>
  </mc:AlternateContent>
  <bookViews>
    <workbookView xWindow="0" yWindow="0" windowWidth="18557" windowHeight="6928"/>
  </bookViews>
  <sheets>
    <sheet name="Fuel Tank" sheetId="1" r:id="rId1"/>
  </sheets>
  <definedNames>
    <definedName name="h">'Fuel Tank'!$B$7</definedName>
    <definedName name="L">'Fuel Tank'!$B$3</definedName>
    <definedName name="Rad">'Fuel Tank'!$B$4</definedName>
    <definedName name="solver_adj" localSheetId="0" hidden="1">'Fuel Tank'!$B$6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'Fuel Tank'!$B$13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3300</definedName>
    <definedName name="solver_ver" localSheetId="0" hidden="1">3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1" l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24" i="1"/>
  <c r="B7" i="1" l="1"/>
  <c r="B10" i="1" l="1"/>
  <c r="B9" i="1"/>
  <c r="B12" i="1" l="1"/>
  <c r="B13" i="1" s="1"/>
</calcChain>
</file>

<file path=xl/sharedStrings.xml><?xml version="1.0" encoding="utf-8"?>
<sst xmlns="http://schemas.openxmlformats.org/spreadsheetml/2006/main" count="20" uniqueCount="16">
  <si>
    <t>R</t>
  </si>
  <si>
    <t>ft</t>
  </si>
  <si>
    <t>h</t>
  </si>
  <si>
    <t>*guess</t>
  </si>
  <si>
    <t>L</t>
  </si>
  <si>
    <t>Vcyl</t>
  </si>
  <si>
    <t>Vsph</t>
  </si>
  <si>
    <t>cubic ft</t>
  </si>
  <si>
    <t>Vtotal</t>
  </si>
  <si>
    <t>inches</t>
  </si>
  <si>
    <t>h (inches)</t>
  </si>
  <si>
    <t>Fuel Storage Tank</t>
  </si>
  <si>
    <t>gallons</t>
  </si>
  <si>
    <t>Vol (gal)</t>
  </si>
  <si>
    <t>f(x)</t>
    <phoneticPr fontId="1" type="noConversion"/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</si>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</sst>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2"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76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71</xdr:row>
      <xdr:rowOff>0</xdr:rowOff>
    </xdr:from>
    <xdr:ext cx="6200775" cy="622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219200" y="18859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f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n-US" sz="18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</m:d>
                    <m:r>
                      <a:rPr lang="en-US" sz="1800" b="0" i="0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begChr m:val="["/>
                        <m:endChr m:val="]"/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𝑐𝑜𝑠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num>
                              <m:den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den>
                            </m:f>
                          </m:e>
                        </m:d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ad>
                          <m:radPr>
                            <m:degHide m:val="on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𝑅h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e>
                              <m:sup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e>
                    </m:d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𝑡𝑜𝑡</m:t>
                        </m:r>
                      </m:sub>
                    </m:sSub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219200" y="18859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f(h)= [𝑅^2 〖𝑐𝑜𝑠〗^(−1) ((𝑅−ℎ)/𝑅)−(𝑅−ℎ) √(2𝑅ℎ−ℎ^2 )]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∙𝐿−𝑉_𝑡𝑜𝑡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4</xdr:col>
      <xdr:colOff>511628</xdr:colOff>
      <xdr:row>0</xdr:row>
      <xdr:rowOff>161924</xdr:rowOff>
    </xdr:from>
    <xdr:to>
      <xdr:col>11</xdr:col>
      <xdr:colOff>255910</xdr:colOff>
      <xdr:row>4</xdr:row>
      <xdr:rowOff>20410</xdr:rowOff>
    </xdr:to>
    <xdr:pic>
      <xdr:nvPicPr>
        <xdr:cNvPr id="11" name="Picture 10">
          <a:extLst>
            <a:ext uri="{FF2B5EF4-FFF2-40B4-BE49-F238E27FC236}">
              <a16:creationId xmlns="" xmlns:a16="http://schemas.microsoft.com/office/drawing/2014/main" id="{0856B453-0CA9-4B11-A42B-BA88323BE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6985" y="161924"/>
          <a:ext cx="4268657" cy="579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198664</xdr:colOff>
      <xdr:row>4</xdr:row>
      <xdr:rowOff>125694</xdr:rowOff>
    </xdr:from>
    <xdr:to>
      <xdr:col>9</xdr:col>
      <xdr:colOff>198664</xdr:colOff>
      <xdr:row>7</xdr:row>
      <xdr:rowOff>162604</xdr:rowOff>
    </xdr:to>
    <xdr:pic>
      <xdr:nvPicPr>
        <xdr:cNvPr id="12" name="Picture 11">
          <a:extLst>
            <a:ext uri="{FF2B5EF4-FFF2-40B4-BE49-F238E27FC236}">
              <a16:creationId xmlns="" xmlns:a16="http://schemas.microsoft.com/office/drawing/2014/main" id="{DDD2C98A-B8C4-4673-A0C3-F7777B073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846873"/>
          <a:ext cx="1939018" cy="57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168047</xdr:colOff>
      <xdr:row>8</xdr:row>
      <xdr:rowOff>98651</xdr:rowOff>
    </xdr:from>
    <xdr:to>
      <xdr:col>11</xdr:col>
      <xdr:colOff>358956</xdr:colOff>
      <xdr:row>16</xdr:row>
      <xdr:rowOff>164646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75139E68-4382-4B3B-B270-46DC672A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53404" y="1541008"/>
          <a:ext cx="4715284" cy="15083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5"/>
  <sheetViews>
    <sheetView tabSelected="1" topLeftCell="A10" zoomScale="115" zoomScaleNormal="115" workbookViewId="0">
      <selection activeCell="L48" sqref="L48"/>
    </sheetView>
  </sheetViews>
  <sheetFormatPr defaultRowHeight="13.6"/>
  <sheetData>
    <row r="1" spans="1:10">
      <c r="A1" t="s">
        <v>11</v>
      </c>
    </row>
    <row r="2" spans="1:10">
      <c r="E2" s="3"/>
    </row>
    <row r="3" spans="1:10">
      <c r="A3" t="s">
        <v>4</v>
      </c>
      <c r="B3">
        <v>12</v>
      </c>
      <c r="C3" t="s">
        <v>1</v>
      </c>
    </row>
    <row r="4" spans="1:10">
      <c r="A4" t="s">
        <v>0</v>
      </c>
      <c r="B4">
        <v>3</v>
      </c>
      <c r="C4" t="s">
        <v>1</v>
      </c>
      <c r="G4" s="2"/>
    </row>
    <row r="5" spans="1:10">
      <c r="G5" s="2"/>
    </row>
    <row r="6" spans="1:10">
      <c r="A6" t="s">
        <v>2</v>
      </c>
      <c r="B6">
        <v>67.1839493280483</v>
      </c>
      <c r="C6" t="s">
        <v>9</v>
      </c>
      <c r="D6" t="s">
        <v>3</v>
      </c>
    </row>
    <row r="7" spans="1:10">
      <c r="B7" s="1">
        <f>B6/12</f>
        <v>5.5986624440040247</v>
      </c>
      <c r="C7" t="s">
        <v>1</v>
      </c>
    </row>
    <row r="9" spans="1:10">
      <c r="A9" t="s">
        <v>5</v>
      </c>
      <c r="B9" s="2">
        <f>(Rad^2*ACOS((Rad-h)/Rad)-(Rad-h)*SQRT(2*Rad*h-h^2))*L</f>
        <v>329.52980785769631</v>
      </c>
      <c r="C9" t="s">
        <v>7</v>
      </c>
    </row>
    <row r="10" spans="1:10">
      <c r="A10" t="s">
        <v>6</v>
      </c>
      <c r="B10" s="2">
        <f>PI()*h^2*(3*Rad-h)/3</f>
        <v>111.64696448238691</v>
      </c>
      <c r="C10" t="s">
        <v>7</v>
      </c>
    </row>
    <row r="11" spans="1:10">
      <c r="E11" s="2"/>
    </row>
    <row r="12" spans="1:10">
      <c r="A12" t="s">
        <v>8</v>
      </c>
      <c r="B12" s="2">
        <f>SUM(B9:B10)</f>
        <v>441.17677234008323</v>
      </c>
      <c r="C12" t="s">
        <v>7</v>
      </c>
      <c r="J12" s="2"/>
    </row>
    <row r="13" spans="1:10">
      <c r="B13" s="2">
        <f>B12*7.48</f>
        <v>3300.0022571038226</v>
      </c>
      <c r="C13" t="s">
        <v>12</v>
      </c>
      <c r="J13" s="2"/>
    </row>
    <row r="14" spans="1:10">
      <c r="J14" s="2"/>
    </row>
    <row r="15" spans="1:10">
      <c r="B15" t="s">
        <v>13</v>
      </c>
      <c r="C15" t="s">
        <v>10</v>
      </c>
      <c r="J15" s="2"/>
    </row>
    <row r="16" spans="1:10">
      <c r="B16">
        <v>100</v>
      </c>
      <c r="C16">
        <v>5.3986604279405759</v>
      </c>
      <c r="J16" s="2"/>
    </row>
    <row r="17" spans="2:10">
      <c r="B17">
        <v>200</v>
      </c>
      <c r="C17">
        <v>8.4717268500786727</v>
      </c>
      <c r="J17" s="2"/>
    </row>
    <row r="18" spans="2:10">
      <c r="B18">
        <v>300</v>
      </c>
      <c r="C18">
        <v>11.039702452955511</v>
      </c>
      <c r="J18" s="2"/>
    </row>
    <row r="19" spans="2:10">
      <c r="B19">
        <v>400</v>
      </c>
      <c r="C19">
        <v>13.335970884555799</v>
      </c>
      <c r="J19" s="2"/>
    </row>
    <row r="20" spans="2:10">
      <c r="B20">
        <v>500</v>
      </c>
      <c r="C20">
        <v>15.456411808150932</v>
      </c>
      <c r="J20" s="2"/>
    </row>
    <row r="21" spans="2:10">
      <c r="B21">
        <v>600</v>
      </c>
      <c r="C21">
        <v>17.452262311494863</v>
      </c>
      <c r="J21" s="2"/>
    </row>
    <row r="22" spans="2:10">
      <c r="B22">
        <v>700</v>
      </c>
      <c r="C22">
        <v>19.355021321814654</v>
      </c>
      <c r="J22" s="2"/>
    </row>
    <row r="23" spans="2:10">
      <c r="B23">
        <v>800</v>
      </c>
      <c r="C23">
        <v>21.185904194761434</v>
      </c>
      <c r="H23" t="s">
        <v>15</v>
      </c>
      <c r="I23" t="s">
        <v>14</v>
      </c>
      <c r="J23" s="2"/>
    </row>
    <row r="24" spans="2:10">
      <c r="B24">
        <v>900</v>
      </c>
      <c r="C24">
        <v>22.960121811739882</v>
      </c>
      <c r="H24">
        <v>0</v>
      </c>
      <c r="I24">
        <f>2^H24-3</f>
        <v>-2</v>
      </c>
      <c r="J24" s="2"/>
    </row>
    <row r="25" spans="2:10">
      <c r="B25">
        <v>1000</v>
      </c>
      <c r="C25">
        <v>24.689172815502232</v>
      </c>
      <c r="H25">
        <v>-0.1</v>
      </c>
      <c r="I25">
        <f t="shared" ref="I25:I55" si="0">2^H25-3</f>
        <v>-2.0669670084631928</v>
      </c>
      <c r="J25" s="2"/>
    </row>
    <row r="26" spans="2:10">
      <c r="B26">
        <v>1100</v>
      </c>
      <c r="C26">
        <v>26.382097970000611</v>
      </c>
      <c r="H26">
        <v>-0.2</v>
      </c>
      <c r="I26">
        <f t="shared" si="0"/>
        <v>-2.1294494367038759</v>
      </c>
      <c r="J26" s="2"/>
    </row>
    <row r="27" spans="2:10">
      <c r="B27">
        <v>1200</v>
      </c>
      <c r="C27">
        <v>28.046267605427698</v>
      </c>
      <c r="H27">
        <v>-0.3</v>
      </c>
      <c r="I27">
        <f t="shared" si="0"/>
        <v>-2.1877476036437646</v>
      </c>
      <c r="J27" s="2"/>
    </row>
    <row r="28" spans="2:10">
      <c r="B28">
        <v>1300</v>
      </c>
      <c r="C28">
        <v>29.687896819774913</v>
      </c>
      <c r="H28">
        <v>-0.4</v>
      </c>
      <c r="I28">
        <f t="shared" si="0"/>
        <v>-2.242141716744801</v>
      </c>
      <c r="J28" s="2"/>
    </row>
    <row r="29" spans="2:10">
      <c r="B29">
        <v>1400</v>
      </c>
      <c r="C29">
        <v>31.312342800065547</v>
      </c>
      <c r="H29">
        <v>-0.5</v>
      </c>
      <c r="I29">
        <f t="shared" si="0"/>
        <v>-2.2928932188134525</v>
      </c>
      <c r="J29" s="2"/>
    </row>
    <row r="30" spans="2:10">
      <c r="B30">
        <v>1500</v>
      </c>
      <c r="C30">
        <v>32.924436039007126</v>
      </c>
      <c r="H30">
        <v>-0.6</v>
      </c>
      <c r="I30">
        <f t="shared" si="0"/>
        <v>-2.3402460446135529</v>
      </c>
      <c r="J30" s="2"/>
    </row>
    <row r="31" spans="2:10">
      <c r="B31">
        <v>1600</v>
      </c>
      <c r="C31">
        <v>34.528598675328567</v>
      </c>
      <c r="H31">
        <v>-0.7</v>
      </c>
      <c r="I31">
        <f t="shared" si="0"/>
        <v>-2.384427793327542</v>
      </c>
      <c r="J31" s="2"/>
    </row>
    <row r="32" spans="2:10">
      <c r="B32">
        <v>1700</v>
      </c>
      <c r="C32">
        <v>36.129002609923226</v>
      </c>
      <c r="H32">
        <v>-0.8</v>
      </c>
      <c r="I32">
        <f t="shared" si="0"/>
        <v>-2.4256508225014826</v>
      </c>
      <c r="J32" s="2"/>
    </row>
    <row r="33" spans="2:10">
      <c r="B33">
        <v>1800</v>
      </c>
      <c r="C33">
        <v>37.729755614774547</v>
      </c>
      <c r="H33">
        <v>-0.9</v>
      </c>
      <c r="I33">
        <f t="shared" si="0"/>
        <v>-2.4641132687318534</v>
      </c>
      <c r="J33" s="2"/>
    </row>
    <row r="34" spans="2:10">
      <c r="B34">
        <v>1900</v>
      </c>
      <c r="C34">
        <v>39.334912736905373</v>
      </c>
      <c r="H34">
        <v>-1</v>
      </c>
      <c r="I34">
        <f t="shared" si="0"/>
        <v>-2.5</v>
      </c>
      <c r="J34" s="2"/>
    </row>
    <row r="35" spans="2:10">
      <c r="B35">
        <v>2000</v>
      </c>
      <c r="C35">
        <v>40.948700584752501</v>
      </c>
      <c r="H35">
        <v>-1.1000000000000001</v>
      </c>
      <c r="I35">
        <f t="shared" si="0"/>
        <v>-2.5334835042315964</v>
      </c>
      <c r="J35" s="2"/>
    </row>
    <row r="36" spans="2:10">
      <c r="B36">
        <v>2100</v>
      </c>
      <c r="C36">
        <v>42.575595553767108</v>
      </c>
      <c r="H36">
        <v>-1.2</v>
      </c>
      <c r="I36">
        <f t="shared" si="0"/>
        <v>-2.5647247183519379</v>
      </c>
      <c r="J36" s="2"/>
    </row>
    <row r="37" spans="2:10">
      <c r="B37">
        <v>2200</v>
      </c>
      <c r="C37">
        <v>44.220448934374502</v>
      </c>
      <c r="H37">
        <v>-1.3</v>
      </c>
      <c r="I37">
        <f t="shared" si="0"/>
        <v>-2.5938738018218821</v>
      </c>
      <c r="J37" s="2"/>
    </row>
    <row r="38" spans="2:10">
      <c r="B38">
        <v>2300</v>
      </c>
      <c r="C38">
        <v>45.888811066406703</v>
      </c>
      <c r="H38">
        <v>-1.4</v>
      </c>
      <c r="I38">
        <f t="shared" si="0"/>
        <v>-2.6210708583724003</v>
      </c>
      <c r="J38" s="2"/>
    </row>
    <row r="39" spans="2:10">
      <c r="B39">
        <v>2400</v>
      </c>
      <c r="C39">
        <v>47.587028172981675</v>
      </c>
      <c r="H39">
        <v>-1.5</v>
      </c>
      <c r="I39">
        <f t="shared" si="0"/>
        <v>-2.646446609406726</v>
      </c>
      <c r="J39" s="2"/>
    </row>
    <row r="40" spans="2:10">
      <c r="B40">
        <v>2500</v>
      </c>
      <c r="C40">
        <v>49.322701113653743</v>
      </c>
      <c r="H40">
        <v>-1.6</v>
      </c>
      <c r="I40">
        <f t="shared" si="0"/>
        <v>-2.6701230223067762</v>
      </c>
      <c r="J40" s="2"/>
    </row>
    <row r="41" spans="2:10">
      <c r="B41">
        <v>2600</v>
      </c>
      <c r="C41">
        <v>51.105205440563466</v>
      </c>
      <c r="H41">
        <v>-1.7</v>
      </c>
      <c r="I41">
        <f t="shared" si="0"/>
        <v>-2.692213896663771</v>
      </c>
      <c r="J41" s="2"/>
    </row>
    <row r="42" spans="2:10">
      <c r="B42">
        <v>2700</v>
      </c>
      <c r="C42">
        <v>52.946533864496658</v>
      </c>
      <c r="H42">
        <v>-1.8</v>
      </c>
      <c r="I42">
        <f t="shared" si="0"/>
        <v>-2.7128254112507411</v>
      </c>
      <c r="J42" s="2"/>
    </row>
    <row r="43" spans="2:10">
      <c r="B43">
        <v>2800</v>
      </c>
      <c r="C43">
        <v>54.862690477816663</v>
      </c>
      <c r="H43">
        <v>-1.9</v>
      </c>
      <c r="I43">
        <f t="shared" si="0"/>
        <v>-2.7320566343659269</v>
      </c>
      <c r="J43" s="2"/>
    </row>
    <row r="44" spans="2:10">
      <c r="B44">
        <v>2900</v>
      </c>
      <c r="C44">
        <v>56.876114427702078</v>
      </c>
      <c r="H44">
        <v>-2</v>
      </c>
      <c r="I44">
        <f t="shared" si="0"/>
        <v>-2.75</v>
      </c>
      <c r="J44" s="2"/>
    </row>
    <row r="45" spans="2:10">
      <c r="B45">
        <v>3000</v>
      </c>
      <c r="C45">
        <v>59.020717888235268</v>
      </c>
      <c r="H45">
        <v>-2.1</v>
      </c>
      <c r="I45">
        <f t="shared" si="0"/>
        <v>-2.7667417521157982</v>
      </c>
      <c r="J45" s="2"/>
    </row>
    <row r="46" spans="2:10">
      <c r="B46">
        <v>3100</v>
      </c>
      <c r="C46">
        <v>61.352521975321075</v>
      </c>
      <c r="H46">
        <v>-2.2000000000000002</v>
      </c>
      <c r="I46">
        <f t="shared" si="0"/>
        <v>-2.782362359175969</v>
      </c>
    </row>
    <row r="47" spans="2:10">
      <c r="B47">
        <v>3200</v>
      </c>
      <c r="C47">
        <v>63.979707707894136</v>
      </c>
      <c r="H47">
        <v>-2.2999999999999998</v>
      </c>
      <c r="I47">
        <f t="shared" si="0"/>
        <v>-2.796936900910941</v>
      </c>
    </row>
    <row r="48" spans="2:10">
      <c r="B48">
        <v>3300</v>
      </c>
      <c r="C48">
        <v>67.1839493280483</v>
      </c>
      <c r="H48">
        <v>-2.4</v>
      </c>
      <c r="I48">
        <f t="shared" si="0"/>
        <v>-2.8105354291862001</v>
      </c>
    </row>
    <row r="49" spans="2:9">
      <c r="B49">
        <v>3400</v>
      </c>
      <c r="H49">
        <v>-2.5</v>
      </c>
      <c r="I49">
        <f t="shared" si="0"/>
        <v>-2.823223304703363</v>
      </c>
    </row>
    <row r="50" spans="2:9">
      <c r="H50">
        <v>-2.6</v>
      </c>
      <c r="I50">
        <f t="shared" si="0"/>
        <v>-2.8350615111533881</v>
      </c>
    </row>
    <row r="51" spans="2:9">
      <c r="H51">
        <v>-2.7</v>
      </c>
      <c r="I51">
        <f t="shared" si="0"/>
        <v>-2.8461069483318857</v>
      </c>
    </row>
    <row r="52" spans="2:9">
      <c r="H52">
        <v>-2.8</v>
      </c>
      <c r="I52">
        <f t="shared" si="0"/>
        <v>-2.8564127056253708</v>
      </c>
    </row>
    <row r="53" spans="2:9">
      <c r="H53">
        <v>-2.9</v>
      </c>
      <c r="I53">
        <f t="shared" si="0"/>
        <v>-2.8660283171829635</v>
      </c>
    </row>
    <row r="54" spans="2:9">
      <c r="H54">
        <v>-3</v>
      </c>
      <c r="I54">
        <f t="shared" si="0"/>
        <v>-2.875</v>
      </c>
    </row>
    <row r="55" spans="2:9">
      <c r="H55">
        <v>-3.1</v>
      </c>
      <c r="I55">
        <f t="shared" si="0"/>
        <v>-2.8833708760578989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Fuel Tank</vt:lpstr>
      <vt:lpstr>h</vt:lpstr>
      <vt:lpstr>L</vt:lpstr>
      <vt:lpstr>Rad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user</cp:lastModifiedBy>
  <dcterms:created xsi:type="dcterms:W3CDTF">2016-02-04T16:31:35Z</dcterms:created>
  <dcterms:modified xsi:type="dcterms:W3CDTF">2018-10-12T16:45:46Z</dcterms:modified>
</cp:coreProperties>
</file>